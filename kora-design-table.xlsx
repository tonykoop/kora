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7840" windowHeight="31920" tabRatio="600" firstSheet="41" autoFilterDateGrouping="1"/>
  </bookViews>
  <sheets>
    <sheet xmlns:r="http://schemas.openxmlformats.org/officeDocument/2006/relationships" name="Kor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2">
    <numFmt numFmtId="164" formatCode="0.0"/>
    <numFmt numFmtId="165" formatCode="0.000"/>
    <numFmt numFmtId="166" formatCode="#,##0.000"/>
    <numFmt numFmtId="167" formatCode="0.0000"/>
    <numFmt numFmtId="168" formatCode="&quot;$&quot;#,##0.00"/>
    <numFmt numFmtId="169" formatCode="m/d"/>
    <numFmt numFmtId="170" formatCode="m/d/yy"/>
    <numFmt numFmtId="171" formatCode="#\ ##/##"/>
    <numFmt numFmtId="172" formatCode="#\ ###/###"/>
    <numFmt numFmtId="173" formatCode="0.000000"/>
    <numFmt numFmtId="174" formatCode="\+0.000;\-0.000;0.000"/>
    <numFmt numFmtId="175" formatCode="\+0.0%;\-0.0%;0.0%"/>
    <numFmt numFmtId="176" formatCode="\+0.0;\-0.0;&quot;0.0&quot;"/>
    <numFmt numFmtId="177" formatCode="\+0.00;\-0.00;&quot;0.00&quot;"/>
    <numFmt numFmtId="178" formatCode="0.00000"/>
    <numFmt numFmtId="179" formatCode="0.0%"/>
    <numFmt numFmtId="180" formatCode="#,##0.0"/>
    <numFmt numFmtId="181" formatCode="0.0&quot;%&quot;"/>
    <numFmt numFmtId="182" formatCode="0.0&quot;°&quot;"/>
    <numFmt numFmtId="183" formatCode="0.00&quot;°&quot;"/>
    <numFmt numFmtId="184" formatCode="0.000&quot;&quot;"/>
    <numFmt numFmtId="185" formatCode="0.0&quot;&quot;"/>
  </numFmts>
  <fonts count="90">
    <font>
      <name val="Arial"/>
      <color rgb="FF000000"/>
      <sz val="10"/>
    </font>
    <font>
      <name val="Arial"/>
      <b val="1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color rgb="FF1155CC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Inconsolata"/>
      <sz val="10"/>
    </font>
    <font>
      <name val="Arial"/>
      <b val="1"/>
      <color rgb="FFFFFFFF"/>
      <sz val="10"/>
    </font>
    <font>
      <name val="Arial"/>
      <color rgb="FFFFFFFF"/>
      <sz val="10"/>
    </font>
    <font>
      <name val="Arial"/>
      <b val="1"/>
      <color rgb="FF000000"/>
      <sz val="10"/>
    </font>
    <font>
      <name val="Arial"/>
      <b val="1"/>
      <color rgb="FF000000"/>
      <sz val="14"/>
    </font>
    <font>
      <name val="Arial"/>
      <color rgb="FFC0C0C0"/>
      <sz val="10"/>
    </font>
    <font>
      <name val="Arial"/>
      <i val="1"/>
      <color rgb="FFC0C0C0"/>
      <sz val="10"/>
    </font>
    <font>
      <name val="Arial"/>
      <color rgb="FF969696"/>
      <sz val="10"/>
    </font>
    <font>
      <name val="Arial"/>
      <b val="1"/>
      <color rgb="FF969696"/>
      <sz val="10"/>
    </font>
    <font>
      <name val="Arial"/>
      <b val="1"/>
      <color rgb="FF993366"/>
      <sz val="10"/>
    </font>
    <font>
      <name val="Arial"/>
      <color rgb="FF993366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0000FF"/>
      <sz val="10"/>
    </font>
    <font>
      <name val="Arial"/>
      <color rgb="FF666666"/>
      <sz val="10"/>
    </font>
    <font>
      <name val="Arial"/>
      <i val="1"/>
      <color rgb="FF666666"/>
      <sz val="10"/>
    </font>
    <font>
      <name val="Arial"/>
      <b val="1"/>
      <color rgb="FFFFFFFF"/>
      <sz val="12"/>
    </font>
    <font>
      <name val="Arial"/>
      <b val="1"/>
      <color rgb="FF000000"/>
      <sz val="11"/>
    </font>
    <font>
      <name val="Arial"/>
      <i val="1"/>
      <color rgb="FF666666"/>
      <sz val="9"/>
    </font>
    <font>
      <name val="Arial"/>
      <color rgb="FF006400"/>
      <sz val="10"/>
    </font>
    <font>
      <name val="Arial"/>
      <b val="1"/>
      <color rgb="FF006400"/>
      <sz val="10"/>
    </font>
    <font>
      <name val="Arial"/>
      <color rgb="FFCC0000"/>
      <sz val="10"/>
    </font>
    <font>
      <name val="Arial"/>
      <color rgb="FF333333"/>
      <sz val="9"/>
    </font>
    <font>
      <name val="Arial"/>
      <b val="1"/>
      <color rgb="FF1F4E79"/>
      <sz val="14"/>
    </font>
    <font>
      <name val="Arial"/>
      <color rgb="FF1F4E79"/>
      <sz val="10"/>
    </font>
    <font>
      <name val="Arial"/>
      <b val="1"/>
      <color rgb="FF1F4E79"/>
      <sz val="12"/>
    </font>
    <font>
      <name val="Arial"/>
      <b val="1"/>
      <color rgb="FF1F4E79"/>
      <sz val="10"/>
    </font>
    <font>
      <name val="Arial"/>
      <b val="1"/>
      <color rgb="FF000000"/>
      <sz val="12"/>
    </font>
    <font>
      <name val="Arial"/>
      <b val="1"/>
      <i val="1"/>
      <color rgb="FF666666"/>
      <sz val="10"/>
    </font>
    <font>
      <name val="Arial"/>
      <color rgb="FF999999"/>
      <sz val="10"/>
    </font>
    <font>
      <name val="Arial"/>
      <i val="1"/>
      <color rgb="FF999999"/>
      <sz val="9"/>
    </font>
    <font>
      <name val="Arial"/>
      <color rgb="FF2E75B6"/>
      <sz val="10"/>
    </font>
    <font>
      <name val="Arial"/>
      <b val="1"/>
      <color rgb="FF2E75B6"/>
      <sz val="10"/>
    </font>
    <font>
      <name val="Arial"/>
      <color rgb="FF5B9BD5"/>
      <sz val="10"/>
    </font>
    <font>
      <name val="Arial"/>
      <b val="1"/>
      <color rgb="FF5B9BD5"/>
      <sz val="10"/>
    </font>
    <font>
      <name val="Arial"/>
      <color rgb="FF9DC3E6"/>
      <sz val="10"/>
    </font>
    <font>
      <name val="Arial"/>
      <b val="1"/>
      <color rgb="FF9DC3E6"/>
      <sz val="10"/>
    </font>
    <font>
      <name val="Arial"/>
      <b val="1"/>
      <i val="1"/>
      <color rgb="FF1F4E79"/>
      <sz val="9"/>
    </font>
    <font>
      <name val="Arial"/>
      <i val="1"/>
      <color rgb="FF000000"/>
      <sz val="10"/>
    </font>
    <font>
      <name val="Arial"/>
      <color rgb="FF000000"/>
      <sz val="9"/>
    </font>
    <font>
      <name val="Arial"/>
      <b val="1"/>
      <color rgb="FFCC4125"/>
      <sz val="10"/>
    </font>
    <font>
      <name val="Arial"/>
      <b val="1"/>
      <i val="1"/>
      <color rgb="FF999999"/>
      <sz val="9"/>
    </font>
    <font>
      <name val="Arial"/>
      <b val="1"/>
      <color rgb="FF990000"/>
      <sz val="10"/>
    </font>
    <font>
      <name val="Arial"/>
      <b val="1"/>
      <color rgb="FF000000"/>
      <sz val="9"/>
    </font>
    <font>
      <name val="Arial"/>
      <b val="1"/>
      <color rgb="FFCC0000"/>
      <sz val="10"/>
    </font>
    <font>
      <name val="Arial"/>
      <i val="1"/>
      <color rgb="FF999999"/>
      <sz val="10"/>
    </font>
    <font>
      <name val="Arial"/>
      <color rgb="FF0000CC"/>
      <sz val="10"/>
    </font>
    <font>
      <name val="Arial"/>
      <b val="1"/>
      <color rgb="FF0000CC"/>
      <sz val="10"/>
    </font>
    <font>
      <name val="Arial"/>
      <i val="1"/>
      <color rgb="FF0000FF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b val="1"/>
      <color rgb="FF999999"/>
      <sz val="9"/>
    </font>
    <font>
      <name val="Arial"/>
      <b val="1"/>
      <color rgb="FFCC0000"/>
      <sz val="9"/>
    </font>
    <font>
      <name val="Arial"/>
      <color rgb="FFCC0000"/>
      <sz val="9"/>
    </font>
    <font>
      <name val="Arial"/>
      <b val="1"/>
      <i val="1"/>
      <color rgb="FF666666"/>
      <sz val="9"/>
    </font>
    <font>
      <name val="Arial"/>
      <b val="1"/>
      <color rgb="FF000000"/>
      <sz val="16"/>
    </font>
    <font>
      <name val="Arial"/>
      <color rgb="FF555555"/>
      <sz val="10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color rgb="FF008000"/>
      <sz val="10"/>
    </font>
    <font>
      <name val="Arial"/>
      <color rgb="FFFF0000"/>
      <sz val="10"/>
    </font>
    <font>
      <name val="Arial"/>
      <b val="1"/>
      <color rgb="FFFF0000"/>
      <sz val="10"/>
    </font>
    <font>
      <name val="Arial"/>
      <b val="1"/>
      <color rgb="FF555555"/>
      <sz val="10"/>
    </font>
    <font>
      <name val="Arial"/>
      <b val="1"/>
      <i val="1"/>
      <color rgb="FF555555"/>
      <sz val="10"/>
    </font>
    <font>
      <name val="Arial"/>
      <i val="1"/>
      <color rgb="FFFF0000"/>
      <sz val="10"/>
    </font>
    <font>
      <name val="Arial"/>
      <color rgb="FFFF8C00"/>
      <sz val="10"/>
    </font>
    <font>
      <name val="Arial"/>
      <i val="1"/>
      <color rgb="FF888888"/>
      <sz val="9"/>
    </font>
    <font>
      <name val="Arial"/>
      <b val="1"/>
      <color rgb="FF333333"/>
      <sz val="10"/>
    </font>
    <font>
      <name val="Arial"/>
      <b val="1"/>
      <color rgb="FF006600"/>
      <sz val="10"/>
    </font>
    <font>
      <name val="Arial"/>
      <b val="1"/>
      <i val="1"/>
      <color rgb="FFFFFFFF"/>
      <sz val="11"/>
    </font>
    <font>
      <name val="Arial"/>
      <i val="1"/>
      <color rgb="FF008000"/>
      <sz val="10"/>
    </font>
    <font>
      <name val="Arial"/>
      <b val="1"/>
      <i val="1"/>
      <color rgb="FF008000"/>
      <sz val="10"/>
    </font>
    <font>
      <name val="Arial"/>
      <i val="1"/>
      <color rgb="FF7030A0"/>
      <sz val="10"/>
    </font>
    <font>
      <name val="Arial"/>
      <i val="1"/>
      <color rgb="FF548235"/>
      <sz val="10"/>
    </font>
    <font>
      <name val="Consolas"/>
      <color rgb="FF000000"/>
      <sz val="9"/>
    </font>
    <font>
      <name val="Consolas"/>
      <i val="1"/>
      <color rgb="FF4472C4"/>
      <sz val="9"/>
    </font>
    <font>
      <name val="Consolas"/>
      <b val="1"/>
      <color rgb="FFFFFFFF"/>
      <sz val="11"/>
    </font>
    <font>
      <name val="Arial"/>
      <b val="1"/>
      <color rgb="FFFFFFFF"/>
      <sz val="14"/>
    </font>
    <font>
      <name val="Arial"/>
      <i val="1"/>
      <color rgb="FF5C2D91"/>
      <sz val="10"/>
    </font>
    <font>
      <name val="Arial"/>
      <b val="1"/>
      <i val="1"/>
      <color rgb="FF5C2D91"/>
      <sz val="10"/>
    </font>
    <font>
      <name val="Arial"/>
      <b val="1"/>
      <i val="1"/>
      <color rgb="FFFFFFFF"/>
      <sz val="14"/>
    </font>
    <font>
      <name val="Arial"/>
      <family val="2"/>
      <color rgb="FF000000"/>
      <sz val="12"/>
    </font>
  </fonts>
  <fills count="90">
    <fill>
      <patternFill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C0C0C0"/>
        <bgColor rgb="FFC0C0C0"/>
      </patternFill>
    </fill>
    <fill>
      <patternFill patternType="solid">
        <fgColor rgb="FFFFD966"/>
        <bgColor rgb="FFFFD966"/>
      </patternFill>
    </fill>
    <fill>
      <patternFill patternType="solid">
        <fgColor rgb="FFCC99FF"/>
        <bgColor rgb="FFCC99FF"/>
      </patternFill>
    </fill>
    <fill>
      <patternFill patternType="solid">
        <fgColor rgb="FFF6B26B"/>
        <bgColor rgb="FFF6B26B"/>
      </patternFill>
    </fill>
    <fill>
      <patternFill patternType="solid">
        <fgColor rgb="FFCCFFFF"/>
        <bgColor rgb="FFCC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6AA84F"/>
        <bgColor rgb="FF6AA84F"/>
      </patternFill>
    </fill>
    <fill>
      <patternFill patternType="solid">
        <fgColor rgb="FFFCF305"/>
        <bgColor rgb="FFFCF305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A64D79"/>
        <bgColor rgb="FFA64D79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1FB714"/>
        <bgColor rgb="FF1FB714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CC4125"/>
        <bgColor rgb="FFCC4125"/>
      </patternFill>
    </fill>
    <fill>
      <patternFill patternType="solid">
        <fgColor rgb="FFE06666"/>
        <bgColor rgb="FFE06666"/>
      </patternFill>
    </fill>
    <fill>
      <patternFill patternType="solid">
        <fgColor rgb="FFD9EAD3"/>
        <bgColor rgb="FFD9EAD3"/>
      </patternFill>
    </fill>
    <fill>
      <patternFill patternType="solid">
        <fgColor rgb="FFFFCC99"/>
        <bgColor rgb="FFFFCC99"/>
      </patternFill>
    </fill>
    <fill>
      <patternFill patternType="solid">
        <fgColor rgb="FF000090"/>
        <bgColor rgb="FF000090"/>
      </patternFill>
    </fill>
    <fill>
      <patternFill patternType="solid">
        <fgColor rgb="FF00CCFF"/>
        <bgColor rgb="FF00CCFF"/>
      </patternFill>
    </fill>
    <fill>
      <patternFill patternType="solid">
        <fgColor rgb="FFFFFF99"/>
        <bgColor rgb="FFFFFF99"/>
      </patternFill>
    </fill>
    <fill>
      <patternFill patternType="solid">
        <fgColor rgb="FFDD0806"/>
        <bgColor rgb="FFDD0806"/>
      </patternFill>
    </fill>
    <fill>
      <patternFill patternType="solid">
        <fgColor rgb="FF4600A5"/>
        <bgColor rgb="FF4600A5"/>
      </patternFill>
    </fill>
    <fill>
      <patternFill patternType="solid">
        <fgColor rgb="FF99CCFF"/>
        <bgColor rgb="FF99CCFF"/>
      </patternFill>
    </fill>
    <fill>
      <patternFill patternType="solid">
        <fgColor rgb="FF00ABEA"/>
        <bgColor rgb="FF00ABEA"/>
      </patternFill>
    </fill>
    <fill>
      <patternFill patternType="solid">
        <fgColor rgb="FF0000D4"/>
        <bgColor rgb="FF0000D4"/>
      </patternFill>
    </fill>
    <fill>
      <patternFill patternType="solid">
        <fgColor rgb="FF4A86E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C78D8"/>
        <bgColor rgb="FF3C78D8"/>
      </patternFill>
    </fill>
    <fill>
      <patternFill patternType="solid">
        <fgColor rgb="FF1C458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8D5E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E8D5E8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555555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D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6D8C3"/>
        <bgColor indexed="64"/>
      </patternFill>
    </fill>
    <fill>
      <patternFill patternType="solid">
        <fgColor rgb="FF8B451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A5F"/>
        <bgColor indexed="64"/>
      </patternFill>
    </fill>
    <fill>
      <patternFill patternType="solid">
        <fgColor rgb="FF5C2D91"/>
        <bgColor indexed="64"/>
      </patternFill>
    </fill>
    <fill>
      <patternFill patternType="solid">
        <fgColor rgb="FFE5D6F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rgb="FFAAAAAA"/>
      </right>
      <top/>
      <bottom/>
      <diagonal/>
    </border>
  </borders>
  <cellStyleXfs count="2">
    <xf numFmtId="0" fontId="19" fillId="0" borderId="26"/>
    <xf numFmtId="0" fontId="19" fillId="0" borderId="26"/>
  </cellStyleXfs>
  <cellXfs count="850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3" borderId="3" pivotButton="0" quotePrefix="0" xfId="0"/>
    <xf numFmtId="0" fontId="1" fillId="4" borderId="4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1" fillId="6" borderId="4" applyAlignment="1" pivotButton="0" quotePrefix="0" xfId="0">
      <alignment horizontal="left"/>
    </xf>
    <xf numFmtId="0" fontId="1" fillId="7" borderId="4" applyAlignment="1" pivotButton="0" quotePrefix="0" xfId="0">
      <alignment horizontal="left"/>
    </xf>
    <xf numFmtId="0" fontId="1" fillId="8" borderId="4" applyAlignment="1" pivotButton="0" quotePrefix="0" xfId="0">
      <alignment horizontal="left"/>
    </xf>
    <xf numFmtId="0" fontId="1" fillId="9" borderId="4" applyAlignment="1" pivotButton="0" quotePrefix="0" xfId="0">
      <alignment horizontal="left"/>
    </xf>
    <xf numFmtId="0" fontId="1" fillId="10" borderId="4" applyAlignment="1" pivotButton="0" quotePrefix="0" xfId="0">
      <alignment horizontal="left"/>
    </xf>
    <xf numFmtId="0" fontId="1" fillId="11" borderId="4" applyAlignment="1" pivotButton="0" quotePrefix="0" xfId="0">
      <alignment horizontal="left"/>
    </xf>
    <xf numFmtId="0" fontId="1" fillId="11" borderId="5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2" fillId="2" borderId="2" applyAlignment="1" pivotButton="0" quotePrefix="0" xfId="0">
      <alignment horizontal="center" wrapText="1"/>
    </xf>
    <xf numFmtId="0" fontId="2" fillId="3" borderId="6" pivotButton="0" quotePrefix="0" xfId="0"/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left"/>
    </xf>
    <xf numFmtId="0" fontId="3" fillId="3" borderId="7" applyAlignment="1" pivotButton="0" quotePrefix="0" xfId="0">
      <alignment horizontal="left"/>
    </xf>
    <xf numFmtId="2" fontId="2" fillId="2" borderId="2" pivotButton="0" quotePrefix="0" xfId="0"/>
    <xf numFmtId="164" fontId="2" fillId="3" borderId="6" pivotButton="0" quotePrefix="0" xfId="0"/>
    <xf numFmtId="164" fontId="3" fillId="3" borderId="0" applyAlignment="1" pivotButton="0" quotePrefix="0" xfId="0">
      <alignment horizontal="left"/>
    </xf>
    <xf numFmtId="164" fontId="3" fillId="3" borderId="7" applyAlignment="1" pivotButton="0" quotePrefix="0" xfId="0">
      <alignment horizontal="left"/>
    </xf>
    <xf numFmtId="164" fontId="2" fillId="3" borderId="0" applyAlignment="1" pivotButton="0" quotePrefix="0" xfId="0">
      <alignment horizontal="left"/>
    </xf>
    <xf numFmtId="0" fontId="2" fillId="12" borderId="6" pivotButton="0" quotePrefix="0" xfId="0"/>
    <xf numFmtId="0" fontId="3" fillId="12" borderId="0" applyAlignment="1" pivotButton="0" quotePrefix="0" xfId="0">
      <alignment horizontal="left"/>
    </xf>
    <xf numFmtId="0" fontId="3" fillId="12" borderId="7" applyAlignment="1" pivotButton="0" quotePrefix="0" xfId="0">
      <alignment horizontal="left"/>
    </xf>
    <xf numFmtId="164" fontId="2" fillId="12" borderId="6" pivotButton="0" quotePrefix="0" xfId="0"/>
    <xf numFmtId="164" fontId="3" fillId="12" borderId="0" applyAlignment="1" pivotButton="0" quotePrefix="0" xfId="0">
      <alignment horizontal="left"/>
    </xf>
    <xf numFmtId="164" fontId="3" fillId="12" borderId="7" applyAlignment="1" pivotButton="0" quotePrefix="0" xfId="0">
      <alignment horizontal="left"/>
    </xf>
    <xf numFmtId="0" fontId="2" fillId="13" borderId="6" pivotButton="0" quotePrefix="0" xfId="0"/>
    <xf numFmtId="0" fontId="3" fillId="13" borderId="0" applyAlignment="1" pivotButton="0" quotePrefix="0" xfId="0">
      <alignment horizontal="left"/>
    </xf>
    <xf numFmtId="0" fontId="3" fillId="13" borderId="7" applyAlignment="1" pivotButton="0" quotePrefix="0" xfId="0">
      <alignment horizontal="left"/>
    </xf>
    <xf numFmtId="164" fontId="2" fillId="13" borderId="6" pivotButton="0" quotePrefix="0" xfId="0"/>
    <xf numFmtId="164" fontId="3" fillId="13" borderId="0" applyAlignment="1" pivotButton="0" quotePrefix="0" xfId="0">
      <alignment horizontal="left"/>
    </xf>
    <xf numFmtId="164" fontId="3" fillId="13" borderId="7" applyAlignment="1" pivotButton="0" quotePrefix="0" xfId="0">
      <alignment horizontal="left"/>
    </xf>
    <xf numFmtId="0" fontId="2" fillId="14" borderId="6" pivotButton="0" quotePrefix="0" xfId="0"/>
    <xf numFmtId="0" fontId="3" fillId="14" borderId="0" applyAlignment="1" pivotButton="0" quotePrefix="0" xfId="0">
      <alignment horizontal="left"/>
    </xf>
    <xf numFmtId="0" fontId="3" fillId="14" borderId="7" applyAlignment="1" pivotButton="0" quotePrefix="0" xfId="0">
      <alignment horizontal="left"/>
    </xf>
    <xf numFmtId="164" fontId="2" fillId="14" borderId="6" pivotButton="0" quotePrefix="0" xfId="0"/>
    <xf numFmtId="164" fontId="3" fillId="14" borderId="0" applyAlignment="1" pivotButton="0" quotePrefix="0" xfId="0">
      <alignment horizontal="left"/>
    </xf>
    <xf numFmtId="164" fontId="3" fillId="14" borderId="7" applyAlignment="1" pivotButton="0" quotePrefix="0" xfId="0">
      <alignment horizontal="left"/>
    </xf>
    <xf numFmtId="0" fontId="2" fillId="15" borderId="6" pivotButton="0" quotePrefix="0" xfId="0"/>
    <xf numFmtId="0" fontId="3" fillId="15" borderId="0" applyAlignment="1" pivotButton="0" quotePrefix="0" xfId="0">
      <alignment horizontal="left"/>
    </xf>
    <xf numFmtId="0" fontId="3" fillId="15" borderId="7" applyAlignment="1" pivotButton="0" quotePrefix="0" xfId="0">
      <alignment horizontal="left"/>
    </xf>
    <xf numFmtId="164" fontId="3" fillId="15" borderId="0" applyAlignment="1" pivotButton="0" quotePrefix="0" xfId="0">
      <alignment horizontal="left"/>
    </xf>
    <xf numFmtId="164" fontId="3" fillId="15" borderId="7" applyAlignment="1" pivotButton="0" quotePrefix="0" xfId="0">
      <alignment horizontal="left"/>
    </xf>
    <xf numFmtId="0" fontId="2" fillId="16" borderId="6" pivotButton="0" quotePrefix="0" xfId="0"/>
    <xf numFmtId="0" fontId="3" fillId="16" borderId="0" applyAlignment="1" pivotButton="0" quotePrefix="0" xfId="0">
      <alignment horizontal="left"/>
    </xf>
    <xf numFmtId="0" fontId="3" fillId="16" borderId="7" applyAlignment="1" pivotButton="0" quotePrefix="0" xfId="0">
      <alignment horizontal="left"/>
    </xf>
    <xf numFmtId="164" fontId="2" fillId="16" borderId="6" pivotButton="0" quotePrefix="0" xfId="0"/>
    <xf numFmtId="164" fontId="3" fillId="16" borderId="0" applyAlignment="1" pivotButton="0" quotePrefix="0" xfId="0">
      <alignment horizontal="left"/>
    </xf>
    <xf numFmtId="164" fontId="3" fillId="16" borderId="7" applyAlignment="1" pivotButton="0" quotePrefix="0" xfId="0">
      <alignment horizontal="left"/>
    </xf>
    <xf numFmtId="0" fontId="2" fillId="17" borderId="6" pivotButton="0" quotePrefix="0" xfId="0"/>
    <xf numFmtId="0" fontId="3" fillId="17" borderId="0" applyAlignment="1" pivotButton="0" quotePrefix="0" xfId="0">
      <alignment horizontal="left"/>
    </xf>
    <xf numFmtId="0" fontId="3" fillId="17" borderId="7" applyAlignment="1" pivotButton="0" quotePrefix="0" xfId="0">
      <alignment horizontal="left"/>
    </xf>
    <xf numFmtId="0" fontId="2" fillId="2" borderId="2" pivotButton="0" quotePrefix="0" xfId="0"/>
    <xf numFmtId="164" fontId="2" fillId="17" borderId="11" pivotButton="0" quotePrefix="0" xfId="0"/>
    <xf numFmtId="164" fontId="3" fillId="17" borderId="12" applyAlignment="1" pivotButton="0" quotePrefix="0" xfId="0">
      <alignment horizontal="left"/>
    </xf>
    <xf numFmtId="164" fontId="3" fillId="17" borderId="13" applyAlignment="1" pivotButton="0" quotePrefix="0" xfId="0">
      <alignment horizontal="left"/>
    </xf>
    <xf numFmtId="164" fontId="2" fillId="3" borderId="0" applyAlignment="1" pivotButton="0" quotePrefix="0" xfId="0">
      <alignment horizontal="left" wrapText="1"/>
    </xf>
    <xf numFmtId="164" fontId="2" fillId="3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2" fontId="2" fillId="9" borderId="1" pivotButton="0" quotePrefix="0" xfId="0"/>
    <xf numFmtId="2" fontId="2" fillId="18" borderId="1" pivotButton="0" quotePrefix="0" xfId="0"/>
    <xf numFmtId="2" fontId="2" fillId="4" borderId="1" applyAlignment="1" pivotButton="0" quotePrefix="0" xfId="0">
      <alignment horizontal="left"/>
    </xf>
    <xf numFmtId="2" fontId="2" fillId="5" borderId="1" applyAlignment="1" pivotButton="0" quotePrefix="0" xfId="0">
      <alignment horizontal="left"/>
    </xf>
    <xf numFmtId="2" fontId="2" fillId="6" borderId="1" applyAlignment="1" pivotButton="0" quotePrefix="0" xfId="0">
      <alignment horizontal="left"/>
    </xf>
    <xf numFmtId="2" fontId="2" fillId="7" borderId="1" applyAlignment="1" pivotButton="0" quotePrefix="0" xfId="0">
      <alignment horizontal="left"/>
    </xf>
    <xf numFmtId="2" fontId="2" fillId="8" borderId="1" applyAlignment="1" pivotButton="0" quotePrefix="0" xfId="0">
      <alignment horizontal="left"/>
    </xf>
    <xf numFmtId="2" fontId="2" fillId="9" borderId="1" applyAlignment="1" pivotButton="0" quotePrefix="0" xfId="0">
      <alignment horizontal="left"/>
    </xf>
    <xf numFmtId="2" fontId="2" fillId="10" borderId="1" applyAlignment="1" pivotButton="0" quotePrefix="0" xfId="0">
      <alignment horizontal="left"/>
    </xf>
    <xf numFmtId="2" fontId="2" fillId="11" borderId="1" applyAlignment="1" pivotButton="0" quotePrefix="0" xfId="0">
      <alignment horizontal="left"/>
    </xf>
    <xf numFmtId="2" fontId="2" fillId="3" borderId="0" applyAlignment="1" pivotButton="0" quotePrefix="0" xfId="0">
      <alignment horizontal="left"/>
    </xf>
    <xf numFmtId="49" fontId="2" fillId="4" borderId="1" applyAlignment="1" pivotButton="0" quotePrefix="0" xfId="0">
      <alignment horizontal="left"/>
    </xf>
    <xf numFmtId="49" fontId="2" fillId="5" borderId="1" applyAlignment="1" pivotButton="0" quotePrefix="0" xfId="0">
      <alignment horizontal="left"/>
    </xf>
    <xf numFmtId="49" fontId="2" fillId="6" borderId="1" applyAlignment="1" pivotButton="0" quotePrefix="0" xfId="0">
      <alignment horizontal="left"/>
    </xf>
    <xf numFmtId="49" fontId="2" fillId="7" borderId="1" applyAlignment="1" pivotButton="0" quotePrefix="0" xfId="0">
      <alignment horizontal="left"/>
    </xf>
    <xf numFmtId="49" fontId="2" fillId="8" borderId="1" applyAlignment="1" pivotButton="0" quotePrefix="0" xfId="0">
      <alignment horizontal="left"/>
    </xf>
    <xf numFmtId="49" fontId="2" fillId="9" borderId="1" applyAlignment="1" pivotButton="0" quotePrefix="0" xfId="0">
      <alignment horizontal="left"/>
    </xf>
    <xf numFmtId="49" fontId="2" fillId="10" borderId="1" applyAlignment="1" pivotButton="0" quotePrefix="0" xfId="0">
      <alignment horizontal="left"/>
    </xf>
    <xf numFmtId="49" fontId="2" fillId="11" borderId="1" applyAlignment="1" pivotButton="0" quotePrefix="0" xfId="0">
      <alignment horizontal="left"/>
    </xf>
    <xf numFmtId="165" fontId="2" fillId="5" borderId="1" applyAlignment="1" pivotButton="0" quotePrefix="0" xfId="0">
      <alignment horizontal="left"/>
    </xf>
    <xf numFmtId="165" fontId="2" fillId="7" borderId="1" applyAlignment="1" pivotButton="0" quotePrefix="0" xfId="0">
      <alignment horizontal="left"/>
    </xf>
    <xf numFmtId="165" fontId="2" fillId="8" borderId="1" applyAlignment="1" pivotButton="0" quotePrefix="0" xfId="0">
      <alignment horizontal="left"/>
    </xf>
    <xf numFmtId="165" fontId="2" fillId="9" borderId="1" applyAlignment="1" pivotButton="0" quotePrefix="0" xfId="0">
      <alignment horizontal="left"/>
    </xf>
    <xf numFmtId="165" fontId="2" fillId="10" borderId="1" applyAlignment="1" pivotButton="0" quotePrefix="0" xfId="0">
      <alignment horizontal="left"/>
    </xf>
    <xf numFmtId="165" fontId="2" fillId="11" borderId="1" applyAlignment="1" pivotButton="0" quotePrefix="0" xfId="0">
      <alignment horizontal="left"/>
    </xf>
    <xf numFmtId="165" fontId="2" fillId="6" borderId="1" applyAlignment="1" pivotButton="0" quotePrefix="0" xfId="0">
      <alignment horizontal="left"/>
    </xf>
    <xf numFmtId="0" fontId="2" fillId="9" borderId="1" pivotButton="0" quotePrefix="0" xfId="0"/>
    <xf numFmtId="0" fontId="2" fillId="18" borderId="1" pivotButton="0" quotePrefix="0" xfId="0"/>
    <xf numFmtId="0" fontId="2" fillId="19" borderId="1" pivotButton="0" quotePrefix="0" xfId="0"/>
    <xf numFmtId="166" fontId="2" fillId="4" borderId="1" applyAlignment="1" pivotButton="0" quotePrefix="0" xfId="0">
      <alignment horizontal="left"/>
    </xf>
    <xf numFmtId="166" fontId="2" fillId="5" borderId="1" applyAlignment="1" pivotButton="0" quotePrefix="0" xfId="0">
      <alignment horizontal="left"/>
    </xf>
    <xf numFmtId="166" fontId="2" fillId="6" borderId="1" applyAlignment="1" pivotButton="0" quotePrefix="0" xfId="0">
      <alignment horizontal="left"/>
    </xf>
    <xf numFmtId="166" fontId="2" fillId="7" borderId="1" applyAlignment="1" pivotButton="0" quotePrefix="0" xfId="0">
      <alignment horizontal="left"/>
    </xf>
    <xf numFmtId="166" fontId="2" fillId="8" borderId="1" applyAlignment="1" pivotButton="0" quotePrefix="0" xfId="0">
      <alignment horizontal="left"/>
    </xf>
    <xf numFmtId="166" fontId="2" fillId="9" borderId="1" applyAlignment="1" pivotButton="0" quotePrefix="0" xfId="0">
      <alignment horizontal="left"/>
    </xf>
    <xf numFmtId="166" fontId="2" fillId="10" borderId="1" applyAlignment="1" pivotButton="0" quotePrefix="0" xfId="0">
      <alignment horizontal="left"/>
    </xf>
    <xf numFmtId="166" fontId="2" fillId="11" borderId="1" applyAlignment="1" pivotButton="0" quotePrefix="0" xfId="0">
      <alignment horizontal="left"/>
    </xf>
    <xf numFmtId="0" fontId="2" fillId="9" borderId="0" pivotButton="0" quotePrefix="0" xfId="0"/>
    <xf numFmtId="0" fontId="2" fillId="20" borderId="1" pivotButton="0" quotePrefix="0" xfId="0"/>
    <xf numFmtId="165" fontId="2" fillId="4" borderId="1" applyAlignment="1" pivotButton="0" quotePrefix="0" xfId="0">
      <alignment horizontal="left"/>
    </xf>
    <xf numFmtId="165" fontId="2" fillId="9" borderId="1" pivotButton="0" quotePrefix="0" xfId="0"/>
    <xf numFmtId="165" fontId="2" fillId="20" borderId="1" pivotButton="0" quotePrefix="0" xfId="0"/>
    <xf numFmtId="165" fontId="2" fillId="3" borderId="0" applyAlignment="1" pivotButton="0" quotePrefix="0" xfId="0">
      <alignment horizontal="left"/>
    </xf>
    <xf numFmtId="0" fontId="2" fillId="4" borderId="1" applyAlignment="1" pivotButton="0" quotePrefix="0" xfId="0">
      <alignment horizontal="left"/>
    </xf>
    <xf numFmtId="0" fontId="2" fillId="5" borderId="1" applyAlignment="1" pivotButton="0" quotePrefix="0" xfId="0">
      <alignment horizontal="left"/>
    </xf>
    <xf numFmtId="0" fontId="2" fillId="6" borderId="1" applyAlignment="1" pivotButton="0" quotePrefix="0" xfId="0">
      <alignment horizontal="left"/>
    </xf>
    <xf numFmtId="0" fontId="2" fillId="7" borderId="1" applyAlignment="1" pivotButton="0" quotePrefix="0" xfId="0">
      <alignment horizontal="left"/>
    </xf>
    <xf numFmtId="0" fontId="2" fillId="8" borderId="1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10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165" fontId="2" fillId="5" borderId="1" pivotButton="0" quotePrefix="0" xfId="0"/>
    <xf numFmtId="165" fontId="3" fillId="4" borderId="1" applyAlignment="1" pivotButton="0" quotePrefix="0" xfId="0">
      <alignment horizontal="left"/>
    </xf>
    <xf numFmtId="165" fontId="3" fillId="5" borderId="1" applyAlignment="1" pivotButton="0" quotePrefix="0" xfId="0">
      <alignment horizontal="left"/>
    </xf>
    <xf numFmtId="165" fontId="3" fillId="6" borderId="1" applyAlignment="1" pivotButton="0" quotePrefix="0" xfId="0">
      <alignment horizontal="left"/>
    </xf>
    <xf numFmtId="165" fontId="3" fillId="7" borderId="1" applyAlignment="1" pivotButton="0" quotePrefix="0" xfId="0">
      <alignment horizontal="left"/>
    </xf>
    <xf numFmtId="165" fontId="3" fillId="8" borderId="1" applyAlignment="1" pivotButton="0" quotePrefix="0" xfId="0">
      <alignment horizontal="left"/>
    </xf>
    <xf numFmtId="165" fontId="3" fillId="9" borderId="1" applyAlignment="1" pivotButton="0" quotePrefix="0" xfId="0">
      <alignment horizontal="left"/>
    </xf>
    <xf numFmtId="165" fontId="3" fillId="10" borderId="1" applyAlignment="1" pivotButton="0" quotePrefix="0" xfId="0">
      <alignment horizontal="left"/>
    </xf>
    <xf numFmtId="165" fontId="3" fillId="11" borderId="1" applyAlignment="1" pivotButton="0" quotePrefix="0" xfId="0">
      <alignment horizontal="left"/>
    </xf>
    <xf numFmtId="165" fontId="2" fillId="21" borderId="1" pivotButton="0" quotePrefix="0" xfId="0"/>
    <xf numFmtId="165" fontId="2" fillId="22" borderId="1" pivotButton="0" quotePrefix="0" xfId="0"/>
    <xf numFmtId="165" fontId="2" fillId="6" borderId="1" pivotButton="0" quotePrefix="0" xfId="0"/>
    <xf numFmtId="165" fontId="2" fillId="18" borderId="1" pivotButton="0" quotePrefix="0" xfId="0"/>
    <xf numFmtId="165" fontId="2" fillId="23" borderId="1" pivotButton="0" quotePrefix="0" xfId="0"/>
    <xf numFmtId="0" fontId="2" fillId="3" borderId="0" applyAlignment="1" pivotButton="0" quotePrefix="0" xfId="0">
      <alignment vertical="center" wrapText="1"/>
    </xf>
    <xf numFmtId="2" fontId="2" fillId="3" borderId="0" pivotButton="0" quotePrefix="0" xfId="0"/>
    <xf numFmtId="2" fontId="2" fillId="2" borderId="1" pivotButton="0" quotePrefix="0" xfId="0"/>
    <xf numFmtId="2" fontId="2" fillId="24" borderId="1" pivotButton="0" quotePrefix="0" xfId="0"/>
    <xf numFmtId="0" fontId="2" fillId="2" borderId="1" pivotButton="0" quotePrefix="0" xfId="0"/>
    <xf numFmtId="0" fontId="2" fillId="24" borderId="1" pivotButton="0" quotePrefix="0" xfId="0"/>
    <xf numFmtId="165" fontId="2" fillId="2" borderId="1" pivotButton="0" quotePrefix="0" xfId="0"/>
    <xf numFmtId="165" fontId="2" fillId="25" borderId="1" pivotButton="0" quotePrefix="0" xfId="0"/>
    <xf numFmtId="2" fontId="2" fillId="5" borderId="1" pivotButton="0" quotePrefix="0" xfId="0"/>
    <xf numFmtId="2" fontId="2" fillId="21" borderId="1" pivotButton="0" quotePrefix="0" xfId="0"/>
    <xf numFmtId="2" fontId="2" fillId="22" borderId="1" pivotButton="0" quotePrefix="0" xfId="0"/>
    <xf numFmtId="2" fontId="2" fillId="6" borderId="1" pivotButton="0" quotePrefix="0" xfId="0"/>
    <xf numFmtId="2" fontId="2" fillId="23" borderId="1" pivotButton="0" quotePrefix="0" xfId="0"/>
    <xf numFmtId="0" fontId="4" fillId="2" borderId="1" pivotButton="0" quotePrefix="0" xfId="0"/>
    <xf numFmtId="0" fontId="4" fillId="26" borderId="1" pivotButton="0" quotePrefix="0" xfId="0"/>
    <xf numFmtId="2" fontId="4" fillId="4" borderId="1" applyAlignment="1" pivotButton="0" quotePrefix="0" xfId="0">
      <alignment horizontal="left"/>
    </xf>
    <xf numFmtId="2" fontId="4" fillId="5" borderId="1" applyAlignment="1" pivotButton="0" quotePrefix="0" xfId="0">
      <alignment horizontal="left"/>
    </xf>
    <xf numFmtId="2" fontId="4" fillId="6" borderId="1" applyAlignment="1" pivotButton="0" quotePrefix="0" xfId="0">
      <alignment horizontal="left"/>
    </xf>
    <xf numFmtId="2" fontId="4" fillId="7" borderId="1" applyAlignment="1" pivotButton="0" quotePrefix="0" xfId="0">
      <alignment horizontal="left"/>
    </xf>
    <xf numFmtId="2" fontId="4" fillId="8" borderId="1" applyAlignment="1" pivotButton="0" quotePrefix="0" xfId="0">
      <alignment horizontal="left"/>
    </xf>
    <xf numFmtId="2" fontId="4" fillId="9" borderId="1" applyAlignment="1" pivotButton="0" quotePrefix="0" xfId="0">
      <alignment horizontal="left"/>
    </xf>
    <xf numFmtId="2" fontId="4" fillId="10" borderId="1" applyAlignment="1" pivotButton="0" quotePrefix="0" xfId="0">
      <alignment horizontal="left"/>
    </xf>
    <xf numFmtId="2" fontId="4" fillId="11" borderId="1" applyAlignment="1" pivotButton="0" quotePrefix="0" xfId="0">
      <alignment horizontal="left"/>
    </xf>
    <xf numFmtId="2" fontId="2" fillId="27" borderId="10" pivotButton="0" quotePrefix="0" xfId="0"/>
    <xf numFmtId="2" fontId="3" fillId="4" borderId="10" applyAlignment="1" pivotButton="0" quotePrefix="0" xfId="0">
      <alignment horizontal="left"/>
    </xf>
    <xf numFmtId="2" fontId="3" fillId="5" borderId="10" applyAlignment="1" pivotButton="0" quotePrefix="0" xfId="0">
      <alignment horizontal="left"/>
    </xf>
    <xf numFmtId="2" fontId="3" fillId="6" borderId="10" applyAlignment="1" pivotButton="0" quotePrefix="0" xfId="0">
      <alignment horizontal="left"/>
    </xf>
    <xf numFmtId="2" fontId="3" fillId="7" borderId="10" applyAlignment="1" pivotButton="0" quotePrefix="0" xfId="0">
      <alignment horizontal="left"/>
    </xf>
    <xf numFmtId="2" fontId="3" fillId="8" borderId="10" applyAlignment="1" pivotButton="0" quotePrefix="0" xfId="0">
      <alignment horizontal="left"/>
    </xf>
    <xf numFmtId="2" fontId="3" fillId="9" borderId="10" applyAlignment="1" pivotButton="0" quotePrefix="0" xfId="0">
      <alignment horizontal="left"/>
    </xf>
    <xf numFmtId="2" fontId="3" fillId="10" borderId="10" applyAlignment="1" pivotButton="0" quotePrefix="0" xfId="0">
      <alignment horizontal="left"/>
    </xf>
    <xf numFmtId="2" fontId="3" fillId="11" borderId="10" applyAlignment="1" pivotButton="0" quotePrefix="0" xfId="0">
      <alignment horizontal="left"/>
    </xf>
    <xf numFmtId="0" fontId="2" fillId="27" borderId="1" pivotButton="0" quotePrefix="0" xfId="0"/>
    <xf numFmtId="2" fontId="3" fillId="4" borderId="1" applyAlignment="1" pivotButton="0" quotePrefix="0" xfId="0">
      <alignment horizontal="left"/>
    </xf>
    <xf numFmtId="2" fontId="3" fillId="5" borderId="1" applyAlignment="1" pivotButton="0" quotePrefix="0" xfId="0">
      <alignment horizontal="left"/>
    </xf>
    <xf numFmtId="2" fontId="3" fillId="6" borderId="1" applyAlignment="1" pivotButton="0" quotePrefix="0" xfId="0">
      <alignment horizontal="left"/>
    </xf>
    <xf numFmtId="2" fontId="3" fillId="7" borderId="1" applyAlignment="1" pivotButton="0" quotePrefix="0" xfId="0">
      <alignment horizontal="left"/>
    </xf>
    <xf numFmtId="2" fontId="3" fillId="8" borderId="1" applyAlignment="1" pivotButton="0" quotePrefix="0" xfId="0">
      <alignment horizontal="left"/>
    </xf>
    <xf numFmtId="2" fontId="3" fillId="9" borderId="1" applyAlignment="1" pivotButton="0" quotePrefix="0" xfId="0">
      <alignment horizontal="left"/>
    </xf>
    <xf numFmtId="2" fontId="3" fillId="10" borderId="1" applyAlignment="1" pivotButton="0" quotePrefix="0" xfId="0">
      <alignment horizontal="left"/>
    </xf>
    <xf numFmtId="2" fontId="3" fillId="11" borderId="1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2" fontId="2" fillId="27" borderId="1" pivotButton="0" quotePrefix="0" xfId="0"/>
    <xf numFmtId="2" fontId="3" fillId="27" borderId="1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0" fontId="3" fillId="6" borderId="1" applyAlignment="1" pivotButton="0" quotePrefix="0" xfId="0">
      <alignment horizontal="left"/>
    </xf>
    <xf numFmtId="0" fontId="3" fillId="7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9" borderId="1" applyAlignment="1" pivotButton="0" quotePrefix="0" xfId="0">
      <alignment horizontal="left"/>
    </xf>
    <xf numFmtId="0" fontId="3" fillId="10" borderId="1" applyAlignment="1" pivotButton="0" quotePrefix="0" xfId="0">
      <alignment horizontal="left"/>
    </xf>
    <xf numFmtId="0" fontId="3" fillId="11" borderId="1" applyAlignment="1" pivotButton="0" quotePrefix="0" xfId="0">
      <alignment horizontal="left"/>
    </xf>
    <xf numFmtId="0" fontId="4" fillId="3" borderId="0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vertical="center" wrapText="1"/>
    </xf>
    <xf numFmtId="2" fontId="2" fillId="28" borderId="2" pivotButton="0" quotePrefix="0" xfId="0"/>
    <xf numFmtId="164" fontId="2" fillId="3" borderId="1" pivotButton="0" quotePrefix="0" xfId="0"/>
    <xf numFmtId="164" fontId="3" fillId="3" borderId="1" applyAlignment="1" pivotButton="0" quotePrefix="0" xfId="0">
      <alignment horizontal="left"/>
    </xf>
    <xf numFmtId="164" fontId="2" fillId="12" borderId="1" pivotButton="0" quotePrefix="0" xfId="0"/>
    <xf numFmtId="164" fontId="3" fillId="12" borderId="1" applyAlignment="1" pivotButton="0" quotePrefix="0" xfId="0">
      <alignment horizontal="left"/>
    </xf>
    <xf numFmtId="164" fontId="2" fillId="13" borderId="1" pivotButton="0" quotePrefix="0" xfId="0"/>
    <xf numFmtId="164" fontId="3" fillId="13" borderId="1" applyAlignment="1" pivotButton="0" quotePrefix="0" xfId="0">
      <alignment horizontal="left"/>
    </xf>
    <xf numFmtId="164" fontId="2" fillId="14" borderId="1" pivotButton="0" quotePrefix="0" xfId="0"/>
    <xf numFmtId="164" fontId="3" fillId="14" borderId="1" applyAlignment="1" pivotButton="0" quotePrefix="0" xfId="0">
      <alignment horizontal="left"/>
    </xf>
    <xf numFmtId="0" fontId="2" fillId="15" borderId="1" pivotButton="0" quotePrefix="0" xfId="0"/>
    <xf numFmtId="164" fontId="3" fillId="15" borderId="1" applyAlignment="1" pivotButton="0" quotePrefix="0" xfId="0">
      <alignment horizontal="left"/>
    </xf>
    <xf numFmtId="164" fontId="2" fillId="16" borderId="1" pivotButton="0" quotePrefix="0" xfId="0"/>
    <xf numFmtId="164" fontId="3" fillId="16" borderId="1" applyAlignment="1" pivotButton="0" quotePrefix="0" xfId="0">
      <alignment horizontal="left"/>
    </xf>
    <xf numFmtId="0" fontId="2" fillId="28" borderId="2" pivotButton="0" quotePrefix="0" xfId="0"/>
    <xf numFmtId="164" fontId="2" fillId="17" borderId="1" pivotButton="0" quotePrefix="0" xfId="0"/>
    <xf numFmtId="164" fontId="3" fillId="17" borderId="1" applyAlignment="1" pivotButton="0" quotePrefix="0" xfId="0">
      <alignment horizontal="left"/>
    </xf>
    <xf numFmtId="0" fontId="4" fillId="0" borderId="0" pivotButton="0" quotePrefix="0" xfId="0"/>
    <xf numFmtId="0" fontId="4" fillId="3" borderId="0" applyAlignment="1" pivotButton="0" quotePrefix="0" xfId="0">
      <alignment horizontal="left" wrapText="1"/>
    </xf>
    <xf numFmtId="0" fontId="4" fillId="29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left"/>
    </xf>
    <xf numFmtId="0" fontId="4" fillId="24" borderId="0" applyAlignment="1" pivotButton="0" quotePrefix="0" xfId="0">
      <alignment horizontal="left"/>
    </xf>
    <xf numFmtId="0" fontId="2" fillId="30" borderId="0" pivotButton="0" quotePrefix="0" xfId="0"/>
    <xf numFmtId="0" fontId="2" fillId="21" borderId="0" applyAlignment="1" pivotButton="0" quotePrefix="0" xfId="0">
      <alignment horizontal="left"/>
    </xf>
    <xf numFmtId="0" fontId="2" fillId="31" borderId="0" applyAlignment="1" pivotButton="0" quotePrefix="0" xfId="0">
      <alignment horizontal="left"/>
    </xf>
    <xf numFmtId="0" fontId="2" fillId="32" borderId="0" applyAlignment="1" pivotButton="0" quotePrefix="0" xfId="0">
      <alignment horizontal="left"/>
    </xf>
    <xf numFmtId="0" fontId="2" fillId="6" borderId="0" applyAlignment="1" pivotButton="0" quotePrefix="0" xfId="0">
      <alignment horizontal="left"/>
    </xf>
    <xf numFmtId="0" fontId="2" fillId="33" borderId="0" applyAlignment="1" pivotButton="0" quotePrefix="0" xfId="0">
      <alignment horizontal="left"/>
    </xf>
    <xf numFmtId="0" fontId="2" fillId="8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34" borderId="0" applyAlignment="1" pivotButton="0" quotePrefix="0" xfId="0">
      <alignment horizontal="left"/>
    </xf>
    <xf numFmtId="0" fontId="2" fillId="7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2" fontId="2" fillId="27" borderId="0" pivotButton="0" quotePrefix="0" xfId="0"/>
    <xf numFmtId="2" fontId="2" fillId="24" borderId="0" pivotButton="0" quotePrefix="0" xfId="0"/>
    <xf numFmtId="2" fontId="2" fillId="21" borderId="0" applyAlignment="1" pivotButton="0" quotePrefix="0" xfId="0">
      <alignment horizontal="left"/>
    </xf>
    <xf numFmtId="2" fontId="2" fillId="31" borderId="0" applyAlignment="1" pivotButton="0" quotePrefix="0" xfId="0">
      <alignment horizontal="left"/>
    </xf>
    <xf numFmtId="2" fontId="2" fillId="32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2" fontId="2" fillId="33" borderId="0" applyAlignment="1" pivotButton="0" quotePrefix="0" xfId="0">
      <alignment horizontal="left"/>
    </xf>
    <xf numFmtId="2" fontId="2" fillId="8" borderId="0" applyAlignment="1" pivotButton="0" quotePrefix="0" xfId="0">
      <alignment horizontal="left"/>
    </xf>
    <xf numFmtId="2" fontId="2" fillId="10" borderId="0" applyAlignment="1" pivotButton="0" quotePrefix="0" xfId="0">
      <alignment horizontal="left"/>
    </xf>
    <xf numFmtId="2" fontId="2" fillId="34" borderId="0" applyAlignment="1" pivotButton="0" quotePrefix="0" xfId="0">
      <alignment horizontal="left"/>
    </xf>
    <xf numFmtId="2" fontId="2" fillId="7" borderId="0" applyAlignment="1" pivotButton="0" quotePrefix="0" xfId="0">
      <alignment horizontal="left"/>
    </xf>
    <xf numFmtId="2" fontId="2" fillId="9" borderId="0" applyAlignment="1" pivotButton="0" quotePrefix="0" xfId="0">
      <alignment horizontal="left"/>
    </xf>
    <xf numFmtId="165" fontId="2" fillId="7" borderId="0" applyAlignment="1" pivotButton="0" quotePrefix="0" xfId="0">
      <alignment horizontal="left"/>
    </xf>
    <xf numFmtId="165" fontId="2" fillId="9" borderId="0" applyAlignment="1" pivotButton="0" quotePrefix="0" xfId="0">
      <alignment horizontal="left"/>
    </xf>
    <xf numFmtId="0" fontId="2" fillId="27" borderId="0" pivotButton="0" quotePrefix="0" xfId="0"/>
    <xf numFmtId="0" fontId="2" fillId="24" borderId="0" pivotButton="0" quotePrefix="0" xfId="0"/>
    <xf numFmtId="165" fontId="2" fillId="21" borderId="0" applyAlignment="1" pivotButton="0" quotePrefix="0" xfId="0">
      <alignment horizontal="left"/>
    </xf>
    <xf numFmtId="165" fontId="2" fillId="31" borderId="0" applyAlignment="1" pivotButton="0" quotePrefix="0" xfId="0">
      <alignment horizontal="left"/>
    </xf>
    <xf numFmtId="165" fontId="2" fillId="32" borderId="0" applyAlignment="1" pivotButton="0" quotePrefix="0" xfId="0">
      <alignment horizontal="left"/>
    </xf>
    <xf numFmtId="165" fontId="2" fillId="6" borderId="0" applyAlignment="1" pivotButton="0" quotePrefix="0" xfId="0">
      <alignment horizontal="left"/>
    </xf>
    <xf numFmtId="165" fontId="2" fillId="33" borderId="0" applyAlignment="1" pivotButton="0" quotePrefix="0" xfId="0">
      <alignment horizontal="left"/>
    </xf>
    <xf numFmtId="165" fontId="2" fillId="8" borderId="0" applyAlignment="1" pivotButton="0" quotePrefix="0" xfId="0">
      <alignment horizontal="left"/>
    </xf>
    <xf numFmtId="165" fontId="2" fillId="10" borderId="0" applyAlignment="1" pivotButton="0" quotePrefix="0" xfId="0">
      <alignment horizontal="left"/>
    </xf>
    <xf numFmtId="165" fontId="2" fillId="34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2" fontId="2" fillId="18" borderId="0" pivotButton="0" quotePrefix="0" xfId="0"/>
    <xf numFmtId="2" fontId="2" fillId="0" borderId="0" applyAlignment="1" pivotButton="0" quotePrefix="0" xfId="0">
      <alignment horizontal="left"/>
    </xf>
    <xf numFmtId="0" fontId="2" fillId="18" borderId="0" pivotButton="0" quotePrefix="0" xfId="0"/>
    <xf numFmtId="0" fontId="2" fillId="2" borderId="0" pivotButton="0" quotePrefix="0" xfId="0"/>
    <xf numFmtId="167" fontId="2" fillId="33" borderId="0" applyAlignment="1" pivotButton="0" quotePrefix="0" xfId="0">
      <alignment horizontal="left"/>
    </xf>
    <xf numFmtId="167" fontId="2" fillId="8" borderId="0" applyAlignment="1" pivotButton="0" quotePrefix="0" xfId="0">
      <alignment horizontal="left"/>
    </xf>
    <xf numFmtId="167" fontId="2" fillId="10" borderId="0" applyAlignment="1" pivotButton="0" quotePrefix="0" xfId="0">
      <alignment horizontal="left"/>
    </xf>
    <xf numFmtId="165" fontId="2" fillId="25" borderId="0" pivotButton="0" quotePrefix="0" xfId="0"/>
    <xf numFmtId="165" fontId="2" fillId="20" borderId="0" pivotButton="0" quotePrefix="0" xfId="0"/>
    <xf numFmtId="0" fontId="2" fillId="20" borderId="0" pivotButton="0" quotePrefix="0" xfId="0"/>
    <xf numFmtId="0" fontId="4" fillId="3" borderId="0" applyAlignment="1" pivotButton="0" quotePrefix="0" xfId="0">
      <alignment horizontal="right"/>
    </xf>
    <xf numFmtId="165" fontId="4" fillId="0" borderId="0" pivotButton="0" quotePrefix="0" xfId="0"/>
    <xf numFmtId="0" fontId="4" fillId="2" borderId="0" pivotButton="0" quotePrefix="0" xfId="0"/>
    <xf numFmtId="0" fontId="7" fillId="2" borderId="0" pivotButton="0" quotePrefix="0" xfId="0"/>
    <xf numFmtId="164" fontId="2" fillId="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left"/>
    </xf>
    <xf numFmtId="164" fontId="2" fillId="12" borderId="0" pivotButton="0" quotePrefix="0" xfId="0"/>
    <xf numFmtId="164" fontId="8" fillId="12" borderId="0" applyAlignment="1" pivotButton="0" quotePrefix="0" xfId="0">
      <alignment horizontal="left"/>
    </xf>
    <xf numFmtId="165" fontId="2" fillId="12" borderId="0" pivotButton="0" quotePrefix="0" xfId="0"/>
    <xf numFmtId="165" fontId="2" fillId="2" borderId="0" pivotButton="0" quotePrefix="0" xfId="0"/>
    <xf numFmtId="165" fontId="3" fillId="12" borderId="0" applyAlignment="1" pivotButton="0" quotePrefix="0" xfId="0">
      <alignment horizontal="left"/>
    </xf>
    <xf numFmtId="165" fontId="8" fillId="12" borderId="0" applyAlignment="1" pivotButton="0" quotePrefix="0" xfId="0">
      <alignment horizontal="left"/>
    </xf>
    <xf numFmtId="0" fontId="2" fillId="13" borderId="0" pivotButton="0" quotePrefix="0" xfId="0"/>
    <xf numFmtId="0" fontId="2" fillId="13" borderId="0" applyAlignment="1" pivotButton="0" quotePrefix="0" xfId="0">
      <alignment horizontal="left"/>
    </xf>
    <xf numFmtId="164" fontId="2" fillId="13" borderId="0" pivotButton="0" quotePrefix="0" xfId="0"/>
    <xf numFmtId="164" fontId="8" fillId="13" borderId="0" applyAlignment="1" pivotButton="0" quotePrefix="0" xfId="0">
      <alignment horizontal="left"/>
    </xf>
    <xf numFmtId="165" fontId="2" fillId="13" borderId="0" pivotButton="0" quotePrefix="0" xfId="0"/>
    <xf numFmtId="165" fontId="3" fillId="13" borderId="0" applyAlignment="1" pivotButton="0" quotePrefix="0" xfId="0">
      <alignment horizontal="left"/>
    </xf>
    <xf numFmtId="165" fontId="8" fillId="13" borderId="0" applyAlignment="1" pivotButton="0" quotePrefix="0" xfId="0">
      <alignment horizontal="left"/>
    </xf>
    <xf numFmtId="0" fontId="2" fillId="14" borderId="0" pivotButton="0" quotePrefix="0" xfId="0"/>
    <xf numFmtId="0" fontId="2" fillId="14" borderId="0" applyAlignment="1" pivotButton="0" quotePrefix="0" xfId="0">
      <alignment horizontal="left"/>
    </xf>
    <xf numFmtId="164" fontId="2" fillId="14" borderId="0" pivotButton="0" quotePrefix="0" xfId="0"/>
    <xf numFmtId="164" fontId="8" fillId="14" borderId="0" applyAlignment="1" pivotButton="0" quotePrefix="0" xfId="0">
      <alignment horizontal="left"/>
    </xf>
    <xf numFmtId="165" fontId="2" fillId="14" borderId="0" pivotButton="0" quotePrefix="0" xfId="0"/>
    <xf numFmtId="165" fontId="3" fillId="14" borderId="0" applyAlignment="1" pivotButton="0" quotePrefix="0" xfId="0">
      <alignment horizontal="left"/>
    </xf>
    <xf numFmtId="165" fontId="8" fillId="14" borderId="0" applyAlignment="1" pivotButton="0" quotePrefix="0" xfId="0">
      <alignment horizontal="left"/>
    </xf>
    <xf numFmtId="0" fontId="2" fillId="15" borderId="0" pivotButton="0" quotePrefix="0" xfId="0"/>
    <xf numFmtId="0" fontId="2" fillId="15" borderId="0" applyAlignment="1" pivotButton="0" quotePrefix="0" xfId="0">
      <alignment horizontal="left"/>
    </xf>
    <xf numFmtId="164" fontId="2" fillId="15" borderId="0" applyAlignment="1" pivotButton="0" quotePrefix="0" xfId="0">
      <alignment horizontal="left"/>
    </xf>
    <xf numFmtId="165" fontId="2" fillId="15" borderId="0" pivotButton="0" quotePrefix="0" xfId="0"/>
    <xf numFmtId="165" fontId="2" fillId="15" borderId="0" applyAlignment="1" pivotButton="0" quotePrefix="0" xfId="0">
      <alignment horizontal="left"/>
    </xf>
    <xf numFmtId="0" fontId="2" fillId="16" borderId="0" pivotButton="0" quotePrefix="0" xfId="0"/>
    <xf numFmtId="0" fontId="2" fillId="16" borderId="0" applyAlignment="1" pivotButton="0" quotePrefix="0" xfId="0">
      <alignment horizontal="left"/>
    </xf>
    <xf numFmtId="164" fontId="2" fillId="16" borderId="0" pivotButton="0" quotePrefix="0" xfId="0"/>
    <xf numFmtId="164" fontId="8" fillId="16" borderId="0" applyAlignment="1" pivotButton="0" quotePrefix="0" xfId="0">
      <alignment horizontal="left"/>
    </xf>
    <xf numFmtId="165" fontId="2" fillId="16" borderId="0" pivotButton="0" quotePrefix="0" xfId="0"/>
    <xf numFmtId="165" fontId="3" fillId="16" borderId="0" applyAlignment="1" pivotButton="0" quotePrefix="0" xfId="0">
      <alignment horizontal="left"/>
    </xf>
    <xf numFmtId="165" fontId="8" fillId="16" borderId="0" applyAlignment="1" pivotButton="0" quotePrefix="0" xfId="0">
      <alignment horizontal="left"/>
    </xf>
    <xf numFmtId="0" fontId="2" fillId="17" borderId="0" pivotButton="0" quotePrefix="0" xfId="0"/>
    <xf numFmtId="0" fontId="2" fillId="17" borderId="0" applyAlignment="1" pivotButton="0" quotePrefix="0" xfId="0">
      <alignment horizontal="left"/>
    </xf>
    <xf numFmtId="164" fontId="2" fillId="17" borderId="0" pivotButton="0" quotePrefix="0" xfId="0"/>
    <xf numFmtId="164" fontId="8" fillId="17" borderId="0" applyAlignment="1" pivotButton="0" quotePrefix="0" xfId="0">
      <alignment horizontal="left"/>
    </xf>
    <xf numFmtId="165" fontId="2" fillId="17" borderId="0" pivotButton="0" quotePrefix="0" xfId="0"/>
    <xf numFmtId="165" fontId="3" fillId="17" borderId="0" applyAlignment="1" pivotButton="0" quotePrefix="0" xfId="0">
      <alignment horizontal="left"/>
    </xf>
    <xf numFmtId="165" fontId="8" fillId="17" borderId="0" applyAlignment="1" pivotButton="0" quotePrefix="0" xfId="0">
      <alignment horizontal="left"/>
    </xf>
    <xf numFmtId="165" fontId="2" fillId="3" borderId="0" pivotButton="0" quotePrefix="0" xfId="0"/>
    <xf numFmtId="165" fontId="3" fillId="3" borderId="0" applyAlignment="1" pivotButton="0" quotePrefix="0" xfId="0">
      <alignment horizontal="left"/>
    </xf>
    <xf numFmtId="165" fontId="8" fillId="3" borderId="0" applyAlignment="1" pivotButton="0" quotePrefix="0" xfId="0">
      <alignment horizontal="left"/>
    </xf>
    <xf numFmtId="165" fontId="1" fillId="25" borderId="0" pivotButton="0" quotePrefix="0" xfId="0"/>
    <xf numFmtId="0" fontId="2" fillId="25" borderId="0" pivotButton="0" quotePrefix="0" xfId="0"/>
    <xf numFmtId="164" fontId="2" fillId="25" borderId="0" pivotButton="0" quotePrefix="0" xfId="0"/>
    <xf numFmtId="49" fontId="4" fillId="0" borderId="0" pivotButton="0" quotePrefix="0" xfId="0"/>
    <xf numFmtId="168" fontId="4" fillId="0" borderId="0" pivotButton="0" quotePrefix="0" xfId="0"/>
    <xf numFmtId="14" fontId="4" fillId="0" borderId="0" pivotButton="0" quotePrefix="0" xfId="0"/>
    <xf numFmtId="49" fontId="4" fillId="30" borderId="0" pivotButton="0" quotePrefix="0" xfId="0"/>
    <xf numFmtId="168" fontId="4" fillId="30" borderId="0" pivotButton="0" quotePrefix="0" xfId="0"/>
    <xf numFmtId="0" fontId="4" fillId="30" borderId="0" pivotButton="0" quotePrefix="0" xfId="0"/>
    <xf numFmtId="14" fontId="4" fillId="30" borderId="0" pivotButton="0" quotePrefix="0" xfId="0"/>
    <xf numFmtId="169" fontId="4" fillId="30" borderId="0" pivotButton="0" quotePrefix="0" xfId="0"/>
    <xf numFmtId="170" fontId="4" fillId="30" borderId="0" pivotButton="0" quotePrefix="0" xfId="0"/>
    <xf numFmtId="0" fontId="4" fillId="24" borderId="0" pivotButton="0" quotePrefix="0" xfId="0"/>
    <xf numFmtId="169" fontId="4" fillId="0" borderId="0" pivotButton="0" quotePrefix="0" xfId="0"/>
    <xf numFmtId="170" fontId="4" fillId="0" borderId="0" pivotButton="0" quotePrefix="0" xfId="0"/>
    <xf numFmtId="0" fontId="4" fillId="35" borderId="0" pivotButton="0" quotePrefix="0" xfId="0"/>
    <xf numFmtId="49" fontId="4" fillId="29" borderId="0" pivotButton="0" quotePrefix="0" xfId="0"/>
    <xf numFmtId="168" fontId="4" fillId="29" borderId="0" pivotButton="0" quotePrefix="0" xfId="0"/>
    <xf numFmtId="0" fontId="4" fillId="29" borderId="0" pivotButton="0" quotePrefix="0" xfId="0"/>
    <xf numFmtId="14" fontId="4" fillId="29" borderId="0" pivotButton="0" quotePrefix="0" xfId="0"/>
    <xf numFmtId="169" fontId="4" fillId="29" borderId="0" pivotButton="0" quotePrefix="0" xfId="0"/>
    <xf numFmtId="170" fontId="4" fillId="29" borderId="0" pivotButton="0" quotePrefix="0" xfId="0"/>
    <xf numFmtId="49" fontId="4" fillId="24" borderId="0" pivotButton="0" quotePrefix="0" xfId="0"/>
    <xf numFmtId="168" fontId="4" fillId="24" borderId="0" pivotButton="0" quotePrefix="0" xfId="0"/>
    <xf numFmtId="14" fontId="4" fillId="24" borderId="0" pivotButton="0" quotePrefix="0" xfId="0"/>
    <xf numFmtId="168" fontId="4" fillId="3" borderId="0" pivotButton="0" quotePrefix="0" xfId="0"/>
    <xf numFmtId="0" fontId="0" fillId="3" borderId="0" pivotButton="0" quotePrefix="0" xfId="0"/>
    <xf numFmtId="49" fontId="0" fillId="36" borderId="0" pivotButton="0" quotePrefix="0" xfId="0"/>
    <xf numFmtId="49" fontId="0" fillId="3" borderId="0" pivotButton="0" quotePrefix="0" xfId="0"/>
    <xf numFmtId="49" fontId="0" fillId="0" borderId="0" pivotButton="0" quotePrefix="0" xfId="0"/>
    <xf numFmtId="4" fontId="0" fillId="3" borderId="0" pivotButton="0" quotePrefix="0" xfId="0"/>
    <xf numFmtId="0" fontId="0" fillId="3" borderId="14" pivotButton="0" quotePrefix="0" xfId="0"/>
    <xf numFmtId="0" fontId="0" fillId="3" borderId="15" pivotButton="0" quotePrefix="0" xfId="0"/>
    <xf numFmtId="49" fontId="0" fillId="36" borderId="16" pivotButton="0" quotePrefix="0" xfId="0"/>
    <xf numFmtId="49" fontId="0" fillId="3" borderId="15" pivotButton="0" quotePrefix="0" xfId="0"/>
    <xf numFmtId="49" fontId="0" fillId="0" borderId="15" pivotButton="0" quotePrefix="0" xfId="0"/>
    <xf numFmtId="4" fontId="0" fillId="3" borderId="15" pivotButton="0" quotePrefix="0" xfId="0"/>
    <xf numFmtId="49" fontId="0" fillId="0" borderId="17" pivotButton="0" quotePrefix="0" xfId="0"/>
    <xf numFmtId="49" fontId="0" fillId="3" borderId="18" pivotButton="0" quotePrefix="0" xfId="0"/>
    <xf numFmtId="49" fontId="9" fillId="37" borderId="19" pivotButton="0" quotePrefix="0" xfId="0"/>
    <xf numFmtId="167" fontId="9" fillId="37" borderId="20" pivotButton="0" quotePrefix="0" xfId="0"/>
    <xf numFmtId="0" fontId="9" fillId="37" borderId="20" pivotButton="0" quotePrefix="0" xfId="0"/>
    <xf numFmtId="0" fontId="10" fillId="37" borderId="20" pivotButton="0" quotePrefix="0" xfId="0"/>
    <xf numFmtId="0" fontId="0" fillId="3" borderId="18" pivotButton="0" quotePrefix="0" xfId="0"/>
    <xf numFmtId="49" fontId="0" fillId="36" borderId="20" pivotButton="0" quotePrefix="0" xfId="0"/>
    <xf numFmtId="165" fontId="0" fillId="0" borderId="15" pivotButton="0" quotePrefix="0" xfId="0"/>
    <xf numFmtId="171" fontId="0" fillId="3" borderId="15" pivotButton="0" quotePrefix="0" xfId="0"/>
    <xf numFmtId="171" fontId="0" fillId="0" borderId="15" pivotButton="0" quotePrefix="0" xfId="0"/>
    <xf numFmtId="167" fontId="0" fillId="0" borderId="15" pivotButton="0" quotePrefix="0" xfId="0"/>
    <xf numFmtId="167" fontId="0" fillId="3" borderId="15" pivotButton="0" quotePrefix="0" xfId="0"/>
    <xf numFmtId="167" fontId="0" fillId="0" borderId="17" pivotButton="0" quotePrefix="0" xfId="0"/>
    <xf numFmtId="0" fontId="0" fillId="3" borderId="24" pivotButton="0" quotePrefix="0" xfId="0"/>
    <xf numFmtId="49" fontId="12" fillId="3" borderId="18" pivotButton="0" quotePrefix="0" xfId="0"/>
    <xf numFmtId="49" fontId="13" fillId="3" borderId="15" pivotButton="0" quotePrefix="0" xfId="0"/>
    <xf numFmtId="49" fontId="11" fillId="3" borderId="24" pivotButton="0" quotePrefix="0" xfId="0"/>
    <xf numFmtId="49" fontId="0" fillId="3" borderId="27" applyAlignment="1" pivotButton="0" quotePrefix="0" xfId="0">
      <alignment horizontal="left"/>
    </xf>
    <xf numFmtId="49" fontId="0" fillId="3" borderId="14" pivotButton="0" quotePrefix="0" xfId="0"/>
    <xf numFmtId="49" fontId="0" fillId="3" borderId="14" applyAlignment="1" pivotButton="0" quotePrefix="0" xfId="0">
      <alignment horizontal="right"/>
    </xf>
    <xf numFmtId="49" fontId="13" fillId="3" borderId="15" applyAlignment="1" pivotButton="0" quotePrefix="0" xfId="0">
      <alignment horizontal="right"/>
    </xf>
    <xf numFmtId="0" fontId="0" fillId="3" borderId="28" pivotButton="0" quotePrefix="0" xfId="0"/>
    <xf numFmtId="165" fontId="11" fillId="19" borderId="20" pivotButton="0" quotePrefix="0" xfId="0"/>
    <xf numFmtId="172" fontId="11" fillId="11" borderId="20" pivotButton="0" quotePrefix="0" xfId="0"/>
    <xf numFmtId="171" fontId="11" fillId="11" borderId="20" pivotButton="0" quotePrefix="0" xfId="0"/>
    <xf numFmtId="167" fontId="14" fillId="3" borderId="15" pivotButton="0" quotePrefix="0" xfId="0"/>
    <xf numFmtId="49" fontId="0" fillId="3" borderId="14" applyAlignment="1" pivotButton="0" quotePrefix="0" xfId="0">
      <alignment horizontal="left"/>
    </xf>
    <xf numFmtId="171" fontId="11" fillId="19" borderId="20" pivotButton="0" quotePrefix="0" xfId="0"/>
    <xf numFmtId="49" fontId="0" fillId="3" borderId="27" pivotButton="0" quotePrefix="0" xfId="0"/>
    <xf numFmtId="165" fontId="0" fillId="24" borderId="15" pivotButton="0" quotePrefix="0" xfId="0"/>
    <xf numFmtId="49" fontId="0" fillId="3" borderId="14" applyAlignment="1" pivotButton="0" quotePrefix="0" xfId="0">
      <alignment horizontal="center"/>
    </xf>
    <xf numFmtId="49" fontId="15" fillId="3" borderId="14" pivotButton="0" quotePrefix="0" xfId="0"/>
    <xf numFmtId="49" fontId="15" fillId="3" borderId="14" applyAlignment="1" pivotButton="0" quotePrefix="0" xfId="0">
      <alignment horizontal="left"/>
    </xf>
    <xf numFmtId="167" fontId="11" fillId="19" borderId="20" pivotButton="0" quotePrefix="0" xfId="0"/>
    <xf numFmtId="167" fontId="16" fillId="28" borderId="20" pivotButton="0" quotePrefix="0" xfId="0"/>
    <xf numFmtId="171" fontId="16" fillId="28" borderId="20" pivotButton="0" quotePrefix="0" xfId="0"/>
    <xf numFmtId="0" fontId="16" fillId="28" borderId="20" pivotButton="0" quotePrefix="0" xfId="0"/>
    <xf numFmtId="167" fontId="14" fillId="3" borderId="18" pivotButton="0" quotePrefix="0" xfId="0"/>
    <xf numFmtId="49" fontId="11" fillId="3" borderId="15" pivotButton="0" quotePrefix="0" xfId="0"/>
    <xf numFmtId="171" fontId="11" fillId="3" borderId="14" pivotButton="0" quotePrefix="0" xfId="0"/>
    <xf numFmtId="171" fontId="11" fillId="3" borderId="15" pivotButton="0" quotePrefix="0" xfId="0"/>
    <xf numFmtId="171" fontId="13" fillId="3" borderId="15" pivotButton="0" quotePrefix="0" xfId="0"/>
    <xf numFmtId="49" fontId="11" fillId="3" borderId="28" applyAlignment="1" pivotButton="0" quotePrefix="0" xfId="0">
      <alignment horizontal="right"/>
    </xf>
    <xf numFmtId="0" fontId="11" fillId="11" borderId="20" applyAlignment="1" pivotButton="0" quotePrefix="0" xfId="0">
      <alignment horizontal="left"/>
    </xf>
    <xf numFmtId="0" fontId="13" fillId="3" borderId="15" pivotButton="0" quotePrefix="0" xfId="0"/>
    <xf numFmtId="167" fontId="11" fillId="19" borderId="20" applyAlignment="1" pivotButton="0" quotePrefix="0" xfId="0">
      <alignment horizontal="right"/>
    </xf>
    <xf numFmtId="167" fontId="11" fillId="39" borderId="20" pivotButton="0" quotePrefix="0" xfId="0"/>
    <xf numFmtId="1" fontId="11" fillId="39" borderId="20" pivotButton="0" quotePrefix="0" xfId="0"/>
    <xf numFmtId="0" fontId="0" fillId="0" borderId="15" pivotButton="0" quotePrefix="0" xfId="0"/>
    <xf numFmtId="169" fontId="0" fillId="0" borderId="15" pivotButton="0" quotePrefix="0" xfId="0"/>
    <xf numFmtId="0" fontId="0" fillId="0" borderId="29" pivotButton="0" quotePrefix="0" xfId="0"/>
    <xf numFmtId="49" fontId="11" fillId="40" borderId="20" pivotButton="0" quotePrefix="0" xfId="0"/>
    <xf numFmtId="49" fontId="0" fillId="0" borderId="30" pivotButton="0" quotePrefix="0" xfId="0"/>
    <xf numFmtId="0" fontId="0" fillId="3" borderId="30" pivotButton="0" quotePrefix="0" xfId="0"/>
    <xf numFmtId="4" fontId="0" fillId="3" borderId="30" pivotButton="0" quotePrefix="0" xfId="0"/>
    <xf numFmtId="49" fontId="0" fillId="0" borderId="31" pivotButton="0" quotePrefix="0" xfId="0"/>
    <xf numFmtId="2" fontId="11" fillId="3" borderId="24" pivotButton="0" quotePrefix="0" xfId="0"/>
    <xf numFmtId="49" fontId="9" fillId="41" borderId="19" pivotButton="0" quotePrefix="0" xfId="0"/>
    <xf numFmtId="0" fontId="9" fillId="41" borderId="20" pivotButton="0" quotePrefix="0" xfId="0"/>
    <xf numFmtId="0" fontId="10" fillId="41" borderId="20" pivotButton="0" quotePrefix="0" xfId="0"/>
    <xf numFmtId="49" fontId="0" fillId="9" borderId="19" pivotButton="0" quotePrefix="0" xfId="0"/>
    <xf numFmtId="0" fontId="0" fillId="9" borderId="20" pivotButton="0" quotePrefix="0" xfId="0"/>
    <xf numFmtId="167" fontId="11" fillId="9" borderId="20" pivotButton="0" quotePrefix="0" xfId="0"/>
    <xf numFmtId="171" fontId="11" fillId="9" borderId="20" pivotButton="0" quotePrefix="0" xfId="0"/>
    <xf numFmtId="0" fontId="11" fillId="9" borderId="20" pivotButton="0" quotePrefix="0" xfId="0"/>
    <xf numFmtId="49" fontId="17" fillId="3" borderId="15" pivotButton="0" quotePrefix="0" xfId="0"/>
    <xf numFmtId="49" fontId="0" fillId="3" borderId="15" applyAlignment="1" pivotButton="0" quotePrefix="0" xfId="0">
      <alignment horizontal="center"/>
    </xf>
    <xf numFmtId="171" fontId="11" fillId="42" borderId="20" pivotButton="0" quotePrefix="0" xfId="0"/>
    <xf numFmtId="167" fontId="11" fillId="42" borderId="20" pivotButton="0" quotePrefix="0" xfId="0"/>
    <xf numFmtId="0" fontId="11" fillId="19" borderId="20" pivotButton="0" quotePrefix="0" xfId="0"/>
    <xf numFmtId="0" fontId="11" fillId="42" borderId="20" pivotButton="0" quotePrefix="0" xfId="0"/>
    <xf numFmtId="49" fontId="0" fillId="3" borderId="27" applyAlignment="1" pivotButton="0" quotePrefix="0" xfId="0">
      <alignment horizontal="center"/>
    </xf>
    <xf numFmtId="172" fontId="11" fillId="42" borderId="20" pivotButton="0" quotePrefix="0" xfId="0"/>
    <xf numFmtId="0" fontId="0" fillId="3" borderId="32" pivotButton="0" quotePrefix="0" xfId="0"/>
    <xf numFmtId="167" fontId="0" fillId="3" borderId="24" applyAlignment="1" pivotButton="0" quotePrefix="0" xfId="0">
      <alignment horizontal="center"/>
    </xf>
    <xf numFmtId="2" fontId="11" fillId="19" borderId="20" pivotButton="0" quotePrefix="0" xfId="0"/>
    <xf numFmtId="167" fontId="11" fillId="3" borderId="24" pivotButton="0" quotePrefix="0" xfId="0"/>
    <xf numFmtId="167" fontId="11" fillId="3" borderId="15" pivotButton="0" quotePrefix="0" xfId="0"/>
    <xf numFmtId="49" fontId="0" fillId="7" borderId="19" pivotButton="0" quotePrefix="0" xfId="0"/>
    <xf numFmtId="0" fontId="0" fillId="3" borderId="18" applyAlignment="1" pivotButton="0" quotePrefix="0" xfId="0">
      <alignment horizontal="center"/>
    </xf>
    <xf numFmtId="0" fontId="0" fillId="3" borderId="15" applyAlignment="1" pivotButton="0" quotePrefix="0" xfId="0">
      <alignment horizontal="center"/>
    </xf>
    <xf numFmtId="171" fontId="0" fillId="3" borderId="15" applyAlignment="1" pivotButton="0" quotePrefix="0" xfId="0">
      <alignment horizontal="center"/>
    </xf>
    <xf numFmtId="49" fontId="11" fillId="3" borderId="15" applyAlignment="1" pivotButton="0" quotePrefix="0" xfId="0">
      <alignment horizontal="center"/>
    </xf>
    <xf numFmtId="49" fontId="15" fillId="7" borderId="19" pivotButton="0" quotePrefix="0" xfId="0"/>
    <xf numFmtId="0" fontId="15" fillId="3" borderId="18" pivotButton="0" quotePrefix="0" xfId="0"/>
    <xf numFmtId="0" fontId="15" fillId="3" borderId="15" pivotButton="0" quotePrefix="0" xfId="0"/>
    <xf numFmtId="49" fontId="13" fillId="3" borderId="27" pivotButton="0" quotePrefix="0" xfId="0"/>
    <xf numFmtId="167" fontId="13" fillId="3" borderId="14" pivotButton="0" quotePrefix="0" xfId="0"/>
    <xf numFmtId="171" fontId="11" fillId="42" borderId="33" pivotButton="0" quotePrefix="0" xfId="0"/>
    <xf numFmtId="171" fontId="11" fillId="42" borderId="34" pivotButton="0" quotePrefix="0" xfId="0"/>
    <xf numFmtId="0" fontId="0" fillId="3" borderId="35" pivotButton="0" quotePrefix="0" xfId="0"/>
    <xf numFmtId="49" fontId="0" fillId="3" borderId="19" pivotButton="0" quotePrefix="0" xfId="0"/>
    <xf numFmtId="165" fontId="11" fillId="43" borderId="20" pivotButton="0" quotePrefix="0" xfId="0"/>
    <xf numFmtId="0" fontId="11" fillId="3" borderId="20" pivotButton="0" quotePrefix="0" xfId="0"/>
    <xf numFmtId="0" fontId="0" fillId="3" borderId="36" pivotButton="0" quotePrefix="0" xfId="0"/>
    <xf numFmtId="0" fontId="0" fillId="3" borderId="27" pivotButton="0" quotePrefix="0" xfId="0"/>
    <xf numFmtId="49" fontId="9" fillId="44" borderId="19" pivotButton="0" quotePrefix="0" xfId="0"/>
    <xf numFmtId="0" fontId="0" fillId="44" borderId="20" pivotButton="0" quotePrefix="0" xfId="0"/>
    <xf numFmtId="167" fontId="0" fillId="3" borderId="24" pivotButton="0" quotePrefix="0" xfId="0"/>
    <xf numFmtId="49" fontId="11" fillId="3" borderId="28" pivotButton="0" quotePrefix="0" xfId="0"/>
    <xf numFmtId="1" fontId="11" fillId="42" borderId="20" applyAlignment="1" pivotButton="0" quotePrefix="0" xfId="0">
      <alignment horizontal="right"/>
    </xf>
    <xf numFmtId="49" fontId="11" fillId="3" borderId="32" applyAlignment="1" pivotButton="0" quotePrefix="0" xfId="0">
      <alignment horizontal="right"/>
    </xf>
    <xf numFmtId="0" fontId="0" fillId="42" borderId="20" pivotButton="0" quotePrefix="0" xfId="0"/>
    <xf numFmtId="167" fontId="13" fillId="3" borderId="18" pivotButton="0" quotePrefix="0" xfId="0"/>
    <xf numFmtId="165" fontId="13" fillId="3" borderId="15" pivotButton="0" quotePrefix="0" xfId="0"/>
    <xf numFmtId="2" fontId="11" fillId="19" borderId="20" applyAlignment="1" pivotButton="0" quotePrefix="0" xfId="0">
      <alignment horizontal="right"/>
    </xf>
    <xf numFmtId="167" fontId="15" fillId="3" borderId="15" pivotButton="0" quotePrefix="0" xfId="0"/>
    <xf numFmtId="0" fontId="10" fillId="3" borderId="15" pivotButton="0" quotePrefix="0" xfId="0"/>
    <xf numFmtId="0" fontId="11" fillId="3" borderId="15" pivotButton="0" quotePrefix="0" xfId="0"/>
    <xf numFmtId="2" fontId="11" fillId="3" borderId="24" applyAlignment="1" pivotButton="0" quotePrefix="0" xfId="0">
      <alignment horizontal="right"/>
    </xf>
    <xf numFmtId="173" fontId="13" fillId="3" borderId="15" pivotButton="0" quotePrefix="0" xfId="0"/>
    <xf numFmtId="167" fontId="13" fillId="3" borderId="15" pivotButton="0" quotePrefix="0" xfId="0"/>
    <xf numFmtId="49" fontId="18" fillId="3" borderId="15" pivotButton="0" quotePrefix="0" xfId="0"/>
    <xf numFmtId="167" fontId="11" fillId="3" borderId="15" applyAlignment="1" pivotButton="0" quotePrefix="0" xfId="0">
      <alignment horizontal="right"/>
    </xf>
    <xf numFmtId="4" fontId="0" fillId="0" borderId="0" pivotButton="0" quotePrefix="0" xfId="0"/>
    <xf numFmtId="0" fontId="0" fillId="0" borderId="37" pivotButton="1" quotePrefix="0" xfId="0"/>
    <xf numFmtId="0" fontId="0" fillId="0" borderId="38" pivotButton="1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37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6" pivotButton="0" quotePrefix="0" xfId="0"/>
    <xf numFmtId="165" fontId="0" fillId="45" borderId="0" applyAlignment="1" pivotButton="0" quotePrefix="0" xfId="0">
      <alignment horizontal="left"/>
    </xf>
    <xf numFmtId="164" fontId="0" fillId="45" borderId="0" applyAlignment="1" pivotButton="0" quotePrefix="0" xfId="0">
      <alignment horizontal="left"/>
    </xf>
    <xf numFmtId="0" fontId="9" fillId="45" borderId="0" pivotButton="0" quotePrefix="0" xfId="0"/>
    <xf numFmtId="173" fontId="0" fillId="0" borderId="0" pivotButton="0" quotePrefix="0" xfId="0"/>
    <xf numFmtId="2" fontId="0" fillId="0" borderId="0" pivotButton="0" quotePrefix="0" xfId="0"/>
    <xf numFmtId="0" fontId="12" fillId="0" borderId="0" pivotButton="0" quotePrefix="0" xfId="0"/>
    <xf numFmtId="0" fontId="9" fillId="46" borderId="0" pivotButton="0" quotePrefix="0" xfId="0"/>
    <xf numFmtId="0" fontId="11" fillId="0" borderId="0" pivotButton="0" quotePrefix="0" xfId="0"/>
    <xf numFmtId="1" fontId="9" fillId="46" borderId="0" pivotButton="0" quotePrefix="0" xfId="0"/>
    <xf numFmtId="0" fontId="0" fillId="47" borderId="0" pivotButton="0" quotePrefix="0" xfId="0"/>
    <xf numFmtId="0" fontId="11" fillId="47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1" fillId="47" borderId="0" pivotButton="0" quotePrefix="0" xfId="0"/>
    <xf numFmtId="0" fontId="0" fillId="48" borderId="0" pivotButton="0" quotePrefix="0" xfId="0"/>
    <xf numFmtId="0" fontId="21" fillId="48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0" fontId="11" fillId="48" borderId="0" pivotButton="0" quotePrefix="0" xfId="0"/>
    <xf numFmtId="0" fontId="0" fillId="49" borderId="0" pivotButton="0" quotePrefix="0" xfId="0"/>
    <xf numFmtId="0" fontId="11" fillId="49" borderId="0" pivotButton="0" quotePrefix="0" xfId="0"/>
    <xf numFmtId="0" fontId="2" fillId="30" borderId="26" pivotButton="0" quotePrefix="0" xfId="1"/>
    <xf numFmtId="0" fontId="2" fillId="21" borderId="26" applyAlignment="1" pivotButton="0" quotePrefix="0" xfId="1">
      <alignment horizontal="left"/>
    </xf>
    <xf numFmtId="0" fontId="2" fillId="27" borderId="26" applyAlignment="1" pivotButton="0" quotePrefix="0" xfId="1">
      <alignment horizontal="left"/>
    </xf>
    <xf numFmtId="0" fontId="2" fillId="18" borderId="26" applyAlignment="1" pivotButton="0" quotePrefix="0" xfId="1">
      <alignment horizontal="left"/>
    </xf>
    <xf numFmtId="0" fontId="2" fillId="50" borderId="26" applyAlignment="1" pivotButton="0" quotePrefix="0" xfId="1">
      <alignment horizontal="left"/>
    </xf>
    <xf numFmtId="0" fontId="2" fillId="5" borderId="26" applyAlignment="1" pivotButton="0" quotePrefix="0" xfId="1">
      <alignment horizontal="left"/>
    </xf>
    <xf numFmtId="0" fontId="19" fillId="0" borderId="26" pivotButton="0" quotePrefix="0" xfId="1"/>
    <xf numFmtId="2" fontId="2" fillId="27" borderId="26" pivotButton="0" quotePrefix="0" xfId="1"/>
    <xf numFmtId="2" fontId="2" fillId="24" borderId="26" pivotButton="0" quotePrefix="0" xfId="1"/>
    <xf numFmtId="2" fontId="2" fillId="21" borderId="26" applyAlignment="1" pivotButton="0" quotePrefix="0" xfId="1">
      <alignment horizontal="left"/>
    </xf>
    <xf numFmtId="2" fontId="2" fillId="18" borderId="26" applyAlignment="1" pivotButton="0" quotePrefix="0" xfId="1">
      <alignment horizontal="left"/>
    </xf>
    <xf numFmtId="2" fontId="2" fillId="50" borderId="26" applyAlignment="1" pivotButton="0" quotePrefix="0" xfId="1">
      <alignment horizontal="left"/>
    </xf>
    <xf numFmtId="2" fontId="2" fillId="5" borderId="26" applyAlignment="1" pivotButton="0" quotePrefix="0" xfId="1">
      <alignment horizontal="left"/>
    </xf>
    <xf numFmtId="0" fontId="2" fillId="27" borderId="26" pivotButton="0" quotePrefix="0" xfId="1"/>
    <xf numFmtId="0" fontId="2" fillId="24" borderId="26" pivotButton="0" quotePrefix="0" xfId="1"/>
    <xf numFmtId="165" fontId="2" fillId="21" borderId="26" applyAlignment="1" pivotButton="0" quotePrefix="0" xfId="1">
      <alignment horizontal="left"/>
    </xf>
    <xf numFmtId="165" fontId="2" fillId="18" borderId="26" applyAlignment="1" pivotButton="0" quotePrefix="0" xfId="1">
      <alignment horizontal="left"/>
    </xf>
    <xf numFmtId="165" fontId="2" fillId="50" borderId="26" applyAlignment="1" pivotButton="0" quotePrefix="0" xfId="1">
      <alignment horizontal="left"/>
    </xf>
    <xf numFmtId="165" fontId="2" fillId="5" borderId="26" applyAlignment="1" pivotButton="0" quotePrefix="0" xfId="1">
      <alignment horizontal="left"/>
    </xf>
    <xf numFmtId="2" fontId="2" fillId="18" borderId="26" pivotButton="0" quotePrefix="0" xfId="1"/>
    <xf numFmtId="0" fontId="2" fillId="18" borderId="26" pivotButton="0" quotePrefix="0" xfId="1"/>
    <xf numFmtId="0" fontId="2" fillId="2" borderId="26" pivotButton="0" quotePrefix="0" xfId="1"/>
    <xf numFmtId="165" fontId="2" fillId="25" borderId="26" pivotButton="0" quotePrefix="0" xfId="1"/>
    <xf numFmtId="165" fontId="2" fillId="20" borderId="26" pivotButton="0" quotePrefix="0" xfId="1"/>
    <xf numFmtId="0" fontId="2" fillId="20" borderId="26" pivotButton="0" quotePrefix="0" xfId="1"/>
    <xf numFmtId="0" fontId="2" fillId="0" borderId="26" pivotButton="0" quotePrefix="0" xfId="1"/>
    <xf numFmtId="0" fontId="2" fillId="21" borderId="26" pivotButton="0" quotePrefix="0" xfId="1"/>
    <xf numFmtId="0" fontId="2" fillId="50" borderId="26" pivotButton="0" quotePrefix="0" xfId="1"/>
    <xf numFmtId="0" fontId="2" fillId="5" borderId="26" pivotButton="0" quotePrefix="0" xfId="1"/>
    <xf numFmtId="4" fontId="2" fillId="21" borderId="26" pivotButton="0" quotePrefix="0" xfId="1"/>
    <xf numFmtId="0" fontId="1" fillId="2" borderId="26" pivotButton="0" quotePrefix="0" xfId="1"/>
    <xf numFmtId="0" fontId="2" fillId="3" borderId="26" pivotButton="0" quotePrefix="0" xfId="1"/>
    <xf numFmtId="164" fontId="2" fillId="3" borderId="26" pivotButton="0" quotePrefix="0" xfId="1"/>
    <xf numFmtId="164" fontId="2" fillId="2" borderId="26" pivotButton="0" quotePrefix="0" xfId="1"/>
    <xf numFmtId="164" fontId="2" fillId="27" borderId="26" applyAlignment="1" pivotButton="0" quotePrefix="0" xfId="1">
      <alignment horizontal="left"/>
    </xf>
    <xf numFmtId="0" fontId="2" fillId="12" borderId="26" pivotButton="0" quotePrefix="0" xfId="1"/>
    <xf numFmtId="164" fontId="2" fillId="12" borderId="26" pivotButton="0" quotePrefix="0" xfId="1"/>
    <xf numFmtId="164" fontId="8" fillId="27" borderId="26" applyAlignment="1" pivotButton="0" quotePrefix="0" xfId="1">
      <alignment horizontal="left"/>
    </xf>
    <xf numFmtId="165" fontId="2" fillId="12" borderId="26" pivotButton="0" quotePrefix="0" xfId="1"/>
    <xf numFmtId="165" fontId="2" fillId="2" borderId="26" pivotButton="0" quotePrefix="0" xfId="1"/>
    <xf numFmtId="165" fontId="2" fillId="27" borderId="26" applyAlignment="1" pivotButton="0" quotePrefix="0" xfId="1">
      <alignment horizontal="left"/>
    </xf>
    <xf numFmtId="0" fontId="2" fillId="13" borderId="26" pivotButton="0" quotePrefix="0" xfId="1"/>
    <xf numFmtId="164" fontId="2" fillId="13" borderId="26" pivotButton="0" quotePrefix="0" xfId="1"/>
    <xf numFmtId="165" fontId="2" fillId="13" borderId="26" pivotButton="0" quotePrefix="0" xfId="1"/>
    <xf numFmtId="0" fontId="2" fillId="14" borderId="26" pivotButton="0" quotePrefix="0" xfId="1"/>
    <xf numFmtId="164" fontId="2" fillId="14" borderId="26" pivotButton="0" quotePrefix="0" xfId="1"/>
    <xf numFmtId="165" fontId="2" fillId="14" borderId="26" pivotButton="0" quotePrefix="0" xfId="1"/>
    <xf numFmtId="165" fontId="2" fillId="3" borderId="26" pivotButton="0" quotePrefix="0" xfId="1"/>
    <xf numFmtId="165" fontId="2" fillId="3" borderId="26" applyAlignment="1" pivotButton="0" quotePrefix="0" xfId="1">
      <alignment horizontal="left"/>
    </xf>
    <xf numFmtId="0" fontId="22" fillId="0" borderId="0" pivotButton="0" quotePrefix="0" xfId="0"/>
    <xf numFmtId="0" fontId="23" fillId="0" borderId="0" pivotButton="0" quotePrefix="0" xfId="0"/>
    <xf numFmtId="0" fontId="24" fillId="51" borderId="0" pivotButton="0" quotePrefix="0" xfId="0"/>
    <xf numFmtId="0" fontId="0" fillId="51" borderId="0" pivotButton="0" quotePrefix="0" xfId="0"/>
    <xf numFmtId="1" fontId="0" fillId="0" borderId="0" pivotButton="0" quotePrefix="0" xfId="0"/>
    <xf numFmtId="0" fontId="11" fillId="52" borderId="0" pivotButton="0" quotePrefix="0" xfId="0"/>
    <xf numFmtId="2" fontId="11" fillId="0" borderId="0" pivotButton="0" quotePrefix="0" xfId="0"/>
    <xf numFmtId="2" fontId="11" fillId="52" borderId="0" pivotButton="0" quotePrefix="0" xfId="0"/>
    <xf numFmtId="1" fontId="11" fillId="52" borderId="0" pivotButton="0" quotePrefix="0" xfId="0"/>
    <xf numFmtId="0" fontId="25" fillId="0" borderId="0" pivotButton="0" quotePrefix="0" xfId="0"/>
    <xf numFmtId="0" fontId="26" fillId="0" borderId="0" pivotButton="0" quotePrefix="0" xfId="0"/>
    <xf numFmtId="174" fontId="0" fillId="0" borderId="0" pivotButton="0" quotePrefix="0" xfId="0"/>
    <xf numFmtId="175" fontId="0" fillId="0" borderId="0" pivotButton="0" quotePrefix="0" xfId="0"/>
    <xf numFmtId="0" fontId="27" fillId="0" borderId="0" pivotButton="0" quotePrefix="0" xfId="0"/>
    <xf numFmtId="165" fontId="20" fillId="52" borderId="0" pivotButton="0" quotePrefix="0" xfId="0"/>
    <xf numFmtId="0" fontId="0" fillId="52" borderId="0" pivotButton="0" quotePrefix="0" xfId="0"/>
    <xf numFmtId="165" fontId="0" fillId="52" borderId="0" pivotButton="0" quotePrefix="0" xfId="0"/>
    <xf numFmtId="174" fontId="0" fillId="52" borderId="0" pivotButton="0" quotePrefix="0" xfId="0"/>
    <xf numFmtId="175" fontId="0" fillId="52" borderId="0" pivotButton="0" quotePrefix="0" xfId="0"/>
    <xf numFmtId="0" fontId="28" fillId="52" borderId="0" pivotButton="0" quotePrefix="0" xfId="0"/>
    <xf numFmtId="0" fontId="29" fillId="0" borderId="0" pivotButton="0" quotePrefix="0" xfId="0"/>
    <xf numFmtId="167" fontId="20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21" fillId="53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20" fillId="53" borderId="0" pivotButton="0" quotePrefix="0" xfId="0"/>
    <xf numFmtId="164" fontId="20" fillId="53" borderId="0" pivotButton="0" quotePrefix="0" xfId="0"/>
    <xf numFmtId="0" fontId="11" fillId="0" borderId="49" pivotButton="0" quotePrefix="0" xfId="0"/>
    <xf numFmtId="0" fontId="0" fillId="0" borderId="49" pivotButton="0" quotePrefix="0" xfId="0"/>
    <xf numFmtId="0" fontId="0" fillId="0" borderId="50" pivotButton="0" quotePrefix="0" xfId="0"/>
    <xf numFmtId="2" fontId="0" fillId="0" borderId="50" pivotButton="0" quotePrefix="0" xfId="0"/>
    <xf numFmtId="164" fontId="20" fillId="53" borderId="50" pivotButton="0" quotePrefix="0" xfId="0"/>
    <xf numFmtId="176" fontId="0" fillId="0" borderId="50" pivotButton="0" quotePrefix="0" xfId="0"/>
    <xf numFmtId="0" fontId="0" fillId="0" borderId="51" pivotButton="0" quotePrefix="0" xfId="0"/>
    <xf numFmtId="2" fontId="0" fillId="0" borderId="51" pivotButton="0" quotePrefix="0" xfId="0"/>
    <xf numFmtId="164" fontId="20" fillId="53" borderId="51" pivotButton="0" quotePrefix="0" xfId="0"/>
    <xf numFmtId="176" fontId="0" fillId="0" borderId="51" pivotButton="0" quotePrefix="0" xfId="0"/>
    <xf numFmtId="0" fontId="9" fillId="54" borderId="53" pivotButton="0" quotePrefix="0" xfId="0"/>
    <xf numFmtId="0" fontId="9" fillId="54" borderId="54" pivotButton="0" quotePrefix="0" xfId="0"/>
    <xf numFmtId="0" fontId="11" fillId="0" borderId="55" pivotButton="0" quotePrefix="0" xfId="0"/>
    <xf numFmtId="0" fontId="11" fillId="0" borderId="56" pivotButton="0" quotePrefix="0" xfId="0"/>
    <xf numFmtId="0" fontId="9" fillId="54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21" fillId="53" borderId="49" pivotButton="0" quotePrefix="0" xfId="0"/>
    <xf numFmtId="164" fontId="21" fillId="53" borderId="49" pivotButton="0" quotePrefix="0" xfId="0"/>
    <xf numFmtId="1" fontId="21" fillId="53" borderId="49" pivotButton="0" quotePrefix="0" xfId="0"/>
    <xf numFmtId="0" fontId="33" fillId="0" borderId="49" pivotButton="0" quotePrefix="0" xfId="0"/>
    <xf numFmtId="2" fontId="11" fillId="0" borderId="49" pivotButton="0" quotePrefix="0" xfId="0"/>
    <xf numFmtId="0" fontId="35" fillId="0" borderId="49" pivotButton="0" quotePrefix="0" xfId="0"/>
    <xf numFmtId="176" fontId="35" fillId="0" borderId="49" pivotButton="0" quotePrefix="0" xfId="0"/>
    <xf numFmtId="177" fontId="11" fillId="0" borderId="49" pivotButton="0" quotePrefix="0" xfId="0"/>
    <xf numFmtId="0" fontId="11" fillId="0" borderId="52" pivotButton="0" quotePrefix="0" xfId="0"/>
    <xf numFmtId="0" fontId="33" fillId="0" borderId="60" pivotButton="0" quotePrefix="0" xfId="0"/>
    <xf numFmtId="0" fontId="0" fillId="0" borderId="60" pivotButton="0" quotePrefix="0" xfId="0"/>
    <xf numFmtId="0" fontId="11" fillId="55" borderId="0" pivotButton="0" quotePrefix="0" xfId="0"/>
    <xf numFmtId="0" fontId="0" fillId="55" borderId="0" pivotButton="0" quotePrefix="0" xfId="0"/>
    <xf numFmtId="165" fontId="20" fillId="53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25" fillId="56" borderId="0" pivotButton="0" quotePrefix="0" xfId="0"/>
    <xf numFmtId="0" fontId="25" fillId="49" borderId="0" pivotButton="0" quotePrefix="0" xfId="0"/>
    <xf numFmtId="0" fontId="25" fillId="53" borderId="0" pivotButton="0" quotePrefix="0" xfId="0"/>
    <xf numFmtId="0" fontId="25" fillId="48" borderId="0" pivotButton="0" quotePrefix="0" xfId="0"/>
    <xf numFmtId="0" fontId="25" fillId="57" borderId="0" pivotButton="0" quotePrefix="0" xfId="0"/>
    <xf numFmtId="0" fontId="11" fillId="58" borderId="0" pivotButton="0" quotePrefix="0" xfId="0"/>
    <xf numFmtId="0" fontId="0" fillId="58" borderId="0" pivotButton="0" quotePrefix="0" xfId="0"/>
    <xf numFmtId="0" fontId="0" fillId="56" borderId="0" pivotButton="0" quotePrefix="0" xfId="0"/>
    <xf numFmtId="0" fontId="11" fillId="56" borderId="0" pivotButton="0" quotePrefix="0" xfId="0"/>
    <xf numFmtId="0" fontId="0" fillId="53" borderId="0" pivotButton="0" quotePrefix="0" xfId="0"/>
    <xf numFmtId="0" fontId="11" fillId="53" borderId="0" pivotButton="0" quotePrefix="0" xfId="0"/>
    <xf numFmtId="0" fontId="0" fillId="57" borderId="0" pivotButton="0" quotePrefix="0" xfId="0"/>
    <xf numFmtId="0" fontId="0" fillId="59" borderId="0" applyAlignment="1" pivotButton="0" quotePrefix="0" xfId="0">
      <alignment horizontal="center"/>
    </xf>
    <xf numFmtId="165" fontId="20" fillId="60" borderId="0" pivotButton="0" quotePrefix="0" xfId="0"/>
    <xf numFmtId="165" fontId="0" fillId="48" borderId="0" pivotButton="0" quotePrefix="0" xfId="0"/>
    <xf numFmtId="0" fontId="25" fillId="61" borderId="0" pivotButton="0" quotePrefix="0" xfId="0"/>
    <xf numFmtId="0" fontId="25" fillId="62" borderId="0" pivotButton="0" quotePrefix="0" xfId="0"/>
    <xf numFmtId="0" fontId="25" fillId="63" borderId="0" pivotButton="0" quotePrefix="0" xfId="0"/>
    <xf numFmtId="0" fontId="25" fillId="64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11" fillId="59" borderId="0" applyAlignment="1" pivotButton="0" quotePrefix="0" xfId="0">
      <alignment horizontal="center"/>
    </xf>
    <xf numFmtId="165" fontId="0" fillId="56" borderId="0" pivotButton="0" quotePrefix="0" xfId="0"/>
    <xf numFmtId="164" fontId="0" fillId="56" borderId="0" pivotButton="0" quotePrefix="0" xfId="0"/>
    <xf numFmtId="164" fontId="0" fillId="49" borderId="0" pivotButton="0" quotePrefix="0" xfId="0"/>
    <xf numFmtId="165" fontId="0" fillId="49" borderId="0" pivotButton="0" quotePrefix="0" xfId="0"/>
    <xf numFmtId="0" fontId="0" fillId="0" borderId="0" applyAlignment="1" pivotButton="0" quotePrefix="0" xfId="0">
      <alignment horizontal="center"/>
    </xf>
    <xf numFmtId="0" fontId="32" fillId="53" borderId="0" applyAlignment="1" pivotButton="0" quotePrefix="0" xfId="0">
      <alignment horizontal="center"/>
    </xf>
    <xf numFmtId="0" fontId="39" fillId="53" borderId="0" applyAlignment="1" pivotButton="0" quotePrefix="0" xfId="0">
      <alignment horizontal="center"/>
    </xf>
    <xf numFmtId="0" fontId="41" fillId="53" borderId="0" applyAlignment="1" pivotButton="0" quotePrefix="0" xfId="0">
      <alignment horizontal="center"/>
    </xf>
    <xf numFmtId="0" fontId="43" fillId="53" borderId="0" applyAlignment="1" pivotButton="0" quotePrefix="0" xfId="0">
      <alignment horizontal="center"/>
    </xf>
    <xf numFmtId="165" fontId="0" fillId="65" borderId="0" pivotButton="0" quotePrefix="0" xfId="0"/>
    <xf numFmtId="0" fontId="0" fillId="62" borderId="0" pivotButton="0" quotePrefix="0" xfId="0"/>
    <xf numFmtId="0" fontId="36" fillId="45" borderId="0" pivotButton="0" quotePrefix="0" xfId="0"/>
    <xf numFmtId="0" fontId="11" fillId="0" borderId="0" applyAlignment="1" pivotButton="0" quotePrefix="0" xfId="0">
      <alignment horizontal="center"/>
    </xf>
    <xf numFmtId="0" fontId="11" fillId="66" borderId="0" applyAlignment="1" pivotButton="0" quotePrefix="0" xfId="0">
      <alignment horizontal="center"/>
    </xf>
    <xf numFmtId="0" fontId="0" fillId="66" borderId="0" applyAlignment="1" pivotButton="0" quotePrefix="0" xfId="0">
      <alignment horizontal="center"/>
    </xf>
    <xf numFmtId="164" fontId="20" fillId="0" borderId="0" pivotButton="0" quotePrefix="0" xfId="0"/>
    <xf numFmtId="0" fontId="33" fillId="66" borderId="0" pivotButton="0" quotePrefix="0" xfId="0"/>
    <xf numFmtId="0" fontId="45" fillId="66" borderId="0" pivotButton="0" quotePrefix="0" xfId="0"/>
    <xf numFmtId="0" fontId="25" fillId="67" borderId="0" pivotButton="0" quotePrefix="0" xfId="0"/>
    <xf numFmtId="0" fontId="46" fillId="0" borderId="0" pivotButton="0" quotePrefix="0" xfId="0"/>
    <xf numFmtId="165" fontId="0" fillId="67" borderId="0" pivotButton="0" quotePrefix="0" xfId="0"/>
    <xf numFmtId="0" fontId="0" fillId="67" borderId="0" pivotButton="0" quotePrefix="0" xfId="0"/>
    <xf numFmtId="0" fontId="47" fillId="67" borderId="0" pivotButton="0" quotePrefix="0" xfId="0"/>
    <xf numFmtId="165" fontId="0" fillId="61" borderId="0" pivotButton="0" quotePrefix="0" xfId="0"/>
    <xf numFmtId="0" fontId="0" fillId="61" borderId="0" pivotButton="0" quotePrefix="0" xfId="0"/>
    <xf numFmtId="0" fontId="47" fillId="61" borderId="0" pivotButton="0" quotePrefix="0" xfId="0"/>
    <xf numFmtId="167" fontId="0" fillId="0" borderId="0" pivotButton="0" quotePrefix="0" xfId="0"/>
    <xf numFmtId="167" fontId="0" fillId="57" borderId="0" pivotButton="0" quotePrefix="0" xfId="0"/>
    <xf numFmtId="165" fontId="0" fillId="57" borderId="0" pivotButton="0" quotePrefix="0" xfId="0"/>
    <xf numFmtId="178" fontId="0" fillId="57" borderId="0" pivotButton="0" quotePrefix="0" xfId="0"/>
    <xf numFmtId="0" fontId="11" fillId="68" borderId="0" pivotButton="0" quotePrefix="0" xfId="0"/>
    <xf numFmtId="0" fontId="11" fillId="69" borderId="0" pivotButton="0" quotePrefix="0" xfId="0"/>
    <xf numFmtId="0" fontId="46" fillId="59" borderId="0" applyAlignment="1" pivotButton="0" quotePrefix="0" xfId="0">
      <alignment horizontal="center"/>
    </xf>
    <xf numFmtId="0" fontId="47" fillId="0" borderId="0" pivotButton="0" quotePrefix="0" xfId="0"/>
    <xf numFmtId="0" fontId="0" fillId="68" borderId="0" pivotButton="0" quotePrefix="0" xfId="0"/>
    <xf numFmtId="165" fontId="0" fillId="68" borderId="0" pivotButton="0" quotePrefix="0" xfId="0"/>
    <xf numFmtId="0" fontId="0" fillId="69" borderId="0" pivotButton="0" quotePrefix="0" xfId="0"/>
    <xf numFmtId="165" fontId="0" fillId="69" borderId="0" pivotButton="0" quotePrefix="0" xfId="0"/>
    <xf numFmtId="0" fontId="35" fillId="67" borderId="0" pivotButton="0" quotePrefix="0" xfId="0"/>
    <xf numFmtId="0" fontId="48" fillId="0" borderId="0" pivotButton="0" quotePrefix="0" xfId="0"/>
    <xf numFmtId="3" fontId="0" fillId="0" borderId="0" pivotButton="0" quotePrefix="0" xfId="0"/>
    <xf numFmtId="0" fontId="35" fillId="57" borderId="0" pivotButton="0" quotePrefix="0" xfId="0"/>
    <xf numFmtId="0" fontId="49" fillId="49" borderId="0" pivotButton="0" quotePrefix="0" xfId="0"/>
    <xf numFmtId="2" fontId="0" fillId="52" borderId="0" pivotButton="0" quotePrefix="0" xfId="0"/>
    <xf numFmtId="164" fontId="0" fillId="52" borderId="0" pivotButton="0" quotePrefix="0" xfId="0"/>
    <xf numFmtId="0" fontId="35" fillId="62" borderId="0" pivotButton="0" quotePrefix="0" xfId="0"/>
    <xf numFmtId="0" fontId="35" fillId="64" borderId="0" pivotButton="0" quotePrefix="0" xfId="0"/>
    <xf numFmtId="0" fontId="50" fillId="0" borderId="0" pivotButton="0" quotePrefix="0" xfId="0"/>
    <xf numFmtId="0" fontId="11" fillId="49" borderId="0" applyAlignment="1" pivotButton="0" quotePrefix="0" xfId="0">
      <alignment wrapText="1"/>
    </xf>
    <xf numFmtId="0" fontId="49" fillId="4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1" fillId="48" borderId="0" applyAlignment="1" pivotButton="0" quotePrefix="0" xfId="0">
      <alignment wrapText="1"/>
    </xf>
    <xf numFmtId="0" fontId="0" fillId="0" borderId="0" applyAlignment="1" pivotButton="0" quotePrefix="0" xfId="0">
      <alignment horizontal="center" wrapText="1"/>
    </xf>
    <xf numFmtId="1" fontId="0" fillId="52" borderId="0" pivotButton="0" quotePrefix="0" xfId="0"/>
    <xf numFmtId="0" fontId="11" fillId="0" borderId="0" applyAlignment="1" pivotButton="0" quotePrefix="0" xfId="0">
      <alignment wrapText="1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3" fontId="20" fillId="53" borderId="0" pivotButton="0" quotePrefix="0" xfId="0"/>
    <xf numFmtId="0" fontId="11" fillId="67" borderId="0" applyAlignment="1" pivotButton="0" quotePrefix="0" xfId="0">
      <alignment horizontal="center"/>
    </xf>
    <xf numFmtId="0" fontId="11" fillId="53" borderId="0" applyAlignment="1" pivotButton="0" quotePrefix="0" xfId="0">
      <alignment horizontal="center"/>
    </xf>
    <xf numFmtId="0" fontId="11" fillId="70" borderId="0" pivotButton="0" quotePrefix="0" xfId="0"/>
    <xf numFmtId="0" fontId="11" fillId="70" borderId="0" applyAlignment="1" pivotButton="0" quotePrefix="0" xfId="0">
      <alignment horizontal="center"/>
    </xf>
    <xf numFmtId="0" fontId="51" fillId="48" borderId="0" pivotButton="0" quotePrefix="0" xfId="0"/>
    <xf numFmtId="0" fontId="51" fillId="53" borderId="0" pivotButton="0" quotePrefix="0" xfId="0"/>
    <xf numFmtId="0" fontId="51" fillId="70" borderId="0" pivotButton="0" quotePrefix="0" xfId="0"/>
    <xf numFmtId="165" fontId="0" fillId="53" borderId="0" pivotButton="0" quotePrefix="0" xfId="0"/>
    <xf numFmtId="0" fontId="0" fillId="70" borderId="0" pivotButton="0" quotePrefix="0" xfId="0"/>
    <xf numFmtId="0" fontId="37" fillId="0" borderId="0" pivotButton="0" quotePrefix="1" xfId="0"/>
    <xf numFmtId="0" fontId="38" fillId="0" borderId="0" pivotButton="0" quotePrefix="1" xfId="0"/>
    <xf numFmtId="0" fontId="52" fillId="0" borderId="0" pivotButton="0" quotePrefix="0" xfId="0"/>
    <xf numFmtId="0" fontId="35" fillId="48" borderId="0" pivotButton="0" quotePrefix="0" xfId="0"/>
    <xf numFmtId="0" fontId="53" fillId="0" borderId="0" pivotButton="0" quotePrefix="0" xfId="0"/>
    <xf numFmtId="168" fontId="0" fillId="0" borderId="0" pivotButton="0" quotePrefix="0" xfId="0"/>
    <xf numFmtId="16" fontId="0" fillId="0" borderId="0" pivotButton="0" quotePrefix="0" xfId="0"/>
    <xf numFmtId="16" fontId="20" fillId="53" borderId="0" pivotButton="0" quotePrefix="0" xfId="0"/>
    <xf numFmtId="168" fontId="11" fillId="0" borderId="0" pivotButton="0" quotePrefix="0" xfId="0"/>
    <xf numFmtId="0" fontId="11" fillId="57" borderId="0" pivotButton="0" quotePrefix="0" xfId="0"/>
    <xf numFmtId="0" fontId="35" fillId="53" borderId="0" pivotButton="0" quotePrefix="0" xfId="0"/>
    <xf numFmtId="0" fontId="11" fillId="65" borderId="0" pivotButton="0" quotePrefix="0" xfId="0"/>
    <xf numFmtId="178" fontId="20" fillId="53" borderId="0" pivotButton="0" quotePrefix="0" xfId="0"/>
    <xf numFmtId="179" fontId="0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167" fontId="0" fillId="52" borderId="0" pivotButton="0" quotePrefix="0" xfId="0"/>
    <xf numFmtId="179" fontId="0" fillId="52" borderId="0" pivotButton="0" quotePrefix="0" xfId="0"/>
    <xf numFmtId="164" fontId="11" fillId="0" borderId="0" pivotButton="0" quotePrefix="0" xfId="0"/>
    <xf numFmtId="0" fontId="56" fillId="0" borderId="0" pivotButton="0" quotePrefix="0" xfId="0"/>
    <xf numFmtId="0" fontId="35" fillId="61" borderId="0" pivotButton="0" quotePrefix="0" xfId="0"/>
    <xf numFmtId="180" fontId="0" fillId="0" borderId="0" pivotButton="0" quotePrefix="0" xfId="0"/>
    <xf numFmtId="181" fontId="0" fillId="0" borderId="0" pivotButton="0" quotePrefix="0" xfId="0"/>
    <xf numFmtId="0" fontId="59" fillId="0" borderId="0" pivotButton="0" quotePrefix="0" xfId="0"/>
    <xf numFmtId="0" fontId="11" fillId="61" borderId="0" pivotButton="0" quotePrefix="0" xfId="0"/>
    <xf numFmtId="0" fontId="21" fillId="49" borderId="0" pivotButton="0" quotePrefix="0" xfId="0"/>
    <xf numFmtId="2" fontId="20" fillId="53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35" fillId="49" borderId="0" pivotButton="0" quotePrefix="0" xfId="0"/>
    <xf numFmtId="0" fontId="62" fillId="0" borderId="0" pivotButton="0" quotePrefix="0" xfId="0"/>
    <xf numFmtId="0" fontId="11" fillId="49" borderId="0" pivotButton="0" quotePrefix="1" xfId="0"/>
    <xf numFmtId="0" fontId="11" fillId="71" borderId="0" pivotButton="0" quotePrefix="0" xfId="0"/>
    <xf numFmtId="0" fontId="11" fillId="72" borderId="0" pivotButton="0" quotePrefix="0" xfId="0"/>
    <xf numFmtId="0" fontId="11" fillId="73" borderId="0" pivotButton="0" quotePrefix="0" xfId="0"/>
    <xf numFmtId="2" fontId="0" fillId="62" borderId="0" pivotButton="0" quotePrefix="0" xfId="0"/>
    <xf numFmtId="2" fontId="0" fillId="49" borderId="0" pivotButton="0" quotePrefix="0" xfId="0"/>
    <xf numFmtId="165" fontId="11" fillId="0" borderId="0" pivotButton="0" quotePrefix="0" xfId="0"/>
    <xf numFmtId="2" fontId="11" fillId="62" borderId="0" pivotButton="0" quotePrefix="0" xfId="0"/>
    <xf numFmtId="2" fontId="11" fillId="49" borderId="0" pivotButton="0" quotePrefix="0" xfId="0"/>
    <xf numFmtId="2" fontId="0" fillId="56" borderId="0" pivotButton="0" quotePrefix="0" xfId="0"/>
    <xf numFmtId="164" fontId="20" fillId="49" borderId="0" pivotButton="0" quotePrefix="0" xfId="0"/>
    <xf numFmtId="2" fontId="0" fillId="53" borderId="0" pivotButton="0" quotePrefix="0" xfId="0"/>
    <xf numFmtId="0" fontId="63" fillId="0" borderId="0" pivotButton="0" quotePrefix="0" xfId="0"/>
    <xf numFmtId="0" fontId="64" fillId="0" borderId="0" pivotButton="0" quotePrefix="0" xfId="0"/>
    <xf numFmtId="0" fontId="65" fillId="0" borderId="0" pivotButton="0" quotePrefix="0" xfId="0"/>
    <xf numFmtId="0" fontId="66" fillId="46" borderId="0" pivotButton="0" quotePrefix="0" xfId="0"/>
    <xf numFmtId="0" fontId="0" fillId="46" borderId="0" pivotButton="0" quotePrefix="0" xfId="0"/>
    <xf numFmtId="1" fontId="20" fillId="53" borderId="0" pivotButton="0" quotePrefix="0" xfId="0"/>
    <xf numFmtId="0" fontId="66" fillId="74" borderId="0" pivotButton="0" quotePrefix="0" xfId="0"/>
    <xf numFmtId="0" fontId="0" fillId="74" borderId="0" pivotButton="0" quotePrefix="0" xfId="0"/>
    <xf numFmtId="0" fontId="67" fillId="0" borderId="0" pivotButton="0" quotePrefix="0" xfId="0"/>
    <xf numFmtId="164" fontId="67" fillId="0" borderId="0" pivotButton="0" quotePrefix="0" xfId="0"/>
    <xf numFmtId="1" fontId="11" fillId="0" borderId="0" pivotButton="0" quotePrefix="0" xfId="0"/>
    <xf numFmtId="0" fontId="66" fillId="75" borderId="0" pivotButton="0" quotePrefix="0" xfId="0"/>
    <xf numFmtId="0" fontId="0" fillId="75" borderId="0" pivotButton="0" quotePrefix="0" xfId="0"/>
    <xf numFmtId="0" fontId="66" fillId="76" borderId="0" pivotButton="0" quotePrefix="0" xfId="0"/>
    <xf numFmtId="0" fontId="0" fillId="76" borderId="0" pivotButton="0" quotePrefix="0" xfId="0"/>
    <xf numFmtId="0" fontId="66" fillId="77" borderId="0" pivotButton="0" quotePrefix="0" xfId="0"/>
    <xf numFmtId="0" fontId="0" fillId="77" borderId="0" pivotButton="0" quotePrefix="0" xfId="0"/>
    <xf numFmtId="0" fontId="66" fillId="78" borderId="0" pivotButton="0" quotePrefix="0" xfId="0"/>
    <xf numFmtId="0" fontId="0" fillId="78" borderId="0" pivotButton="0" quotePrefix="0" xfId="0"/>
    <xf numFmtId="0" fontId="66" fillId="79" borderId="0" pivotButton="0" quotePrefix="0" xfId="0"/>
    <xf numFmtId="0" fontId="0" fillId="79" borderId="0" pivotButton="0" quotePrefix="0" xfId="0"/>
    <xf numFmtId="0" fontId="35" fillId="0" borderId="0" pivotButton="0" quotePrefix="0" xfId="0"/>
    <xf numFmtId="0" fontId="35" fillId="80" borderId="0" pivotButton="0" quotePrefix="0" xfId="0"/>
    <xf numFmtId="179" fontId="68" fillId="49" borderId="0" pivotButton="0" quotePrefix="0" xfId="0"/>
    <xf numFmtId="0" fontId="69" fillId="0" borderId="0" pivotButton="0" quotePrefix="0" xfId="0"/>
    <xf numFmtId="0" fontId="71" fillId="47" borderId="0" pivotButton="0" quotePrefix="0" xfId="0"/>
    <xf numFmtId="0" fontId="70" fillId="0" borderId="0" pivotButton="0" quotePrefix="0" xfId="0"/>
    <xf numFmtId="0" fontId="0" fillId="0" borderId="0" pivotButton="0" quotePrefix="1" xfId="0"/>
    <xf numFmtId="0" fontId="72" fillId="0" borderId="0" pivotButton="0" quotePrefix="0" xfId="0"/>
    <xf numFmtId="179" fontId="73" fillId="49" borderId="0" pivotButton="0" quotePrefix="0" xfId="0"/>
    <xf numFmtId="0" fontId="74" fillId="0" borderId="0" pivotButton="0" quotePrefix="0" xfId="0"/>
    <xf numFmtId="0" fontId="75" fillId="0" borderId="0" pivotButton="0" quotePrefix="0" xfId="0"/>
    <xf numFmtId="0" fontId="66" fillId="81" borderId="0" pivotButton="0" quotePrefix="0" xfId="0"/>
    <xf numFmtId="0" fontId="0" fillId="81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11" fillId="82" borderId="0" pivotButton="0" quotePrefix="0" xfId="0"/>
    <xf numFmtId="3" fontId="21" fillId="53" borderId="0" pivotButton="0" quotePrefix="0" xfId="0"/>
    <xf numFmtId="0" fontId="76" fillId="0" borderId="0" pivotButton="0" quotePrefix="0" xfId="0"/>
    <xf numFmtId="182" fontId="0" fillId="0" borderId="0" pivotButton="0" quotePrefix="0" xfId="0"/>
    <xf numFmtId="183" fontId="0" fillId="0" borderId="0" pivotButton="0" quotePrefix="0" xfId="0"/>
    <xf numFmtId="0" fontId="35" fillId="63" borderId="0" pivotButton="0" quotePrefix="0" xfId="0"/>
    <xf numFmtId="11" fontId="20" fillId="53" borderId="0" pivotButton="0" quotePrefix="0" xfId="0"/>
    <xf numFmtId="178" fontId="0" fillId="0" borderId="0" pivotButton="0" quotePrefix="0" xfId="0"/>
    <xf numFmtId="184" fontId="0" fillId="0" borderId="0" pivotButton="0" quotePrefix="0" xfId="0"/>
    <xf numFmtId="185" fontId="0" fillId="0" borderId="0" pivotButton="0" quotePrefix="0" xfId="0"/>
    <xf numFmtId="167" fontId="20" fillId="53" borderId="0" pivotButton="0" quotePrefix="0" xfId="0"/>
    <xf numFmtId="0" fontId="35" fillId="84" borderId="0" pivotButton="0" quotePrefix="0" xfId="0"/>
    <xf numFmtId="0" fontId="66" fillId="85" borderId="0" pivotButton="0" quotePrefix="0" xfId="0"/>
    <xf numFmtId="0" fontId="0" fillId="85" borderId="0" pivotButton="0" quotePrefix="0" xfId="0"/>
    <xf numFmtId="9" fontId="20" fillId="53" borderId="0" pivotButton="0" quotePrefix="0" xfId="0"/>
    <xf numFmtId="0" fontId="66" fillId="54" borderId="0" pivotButton="0" quotePrefix="0" xfId="0"/>
    <xf numFmtId="0" fontId="0" fillId="54" borderId="0" pivotButton="0" quotePrefix="0" xfId="0"/>
    <xf numFmtId="0" fontId="77" fillId="46" borderId="0" pivotButton="0" quotePrefix="0" xfId="0"/>
    <xf numFmtId="0" fontId="71" fillId="0" borderId="0" pivotButton="0" quotePrefix="0" xfId="0"/>
    <xf numFmtId="0" fontId="71" fillId="49" borderId="0" pivotButton="0" quotePrefix="0" xfId="0"/>
    <xf numFmtId="0" fontId="77" fillId="74" borderId="0" pivotButton="0" quotePrefix="0" xfId="0"/>
    <xf numFmtId="0" fontId="71" fillId="48" borderId="0" pivotButton="0" quotePrefix="0" xfId="0"/>
    <xf numFmtId="0" fontId="78" fillId="0" borderId="0" pivotButton="0" quotePrefix="0" xfId="0"/>
    <xf numFmtId="0" fontId="79" fillId="0" borderId="0" pivotButton="0" quotePrefix="0" xfId="0"/>
    <xf numFmtId="49" fontId="21" fillId="47" borderId="0" pivotButton="0" quotePrefix="0" xfId="0"/>
    <xf numFmtId="0" fontId="66" fillId="86" borderId="0" pivotButton="0" quotePrefix="0" xfId="0"/>
    <xf numFmtId="0" fontId="0" fillId="86" borderId="0" pivotButton="0" quotePrefix="0" xfId="0"/>
    <xf numFmtId="0" fontId="0" fillId="84" borderId="0" pivotButton="0" quotePrefix="0" xfId="0"/>
    <xf numFmtId="3" fontId="0" fillId="84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82" fillId="0" borderId="0" pivotButton="0" quotePrefix="0" xfId="0"/>
    <xf numFmtId="0" fontId="83" fillId="0" borderId="0" pivotButton="0" quotePrefix="0" xfId="0"/>
    <xf numFmtId="0" fontId="84" fillId="77" borderId="0" pivotButton="0" quotePrefix="0" xfId="0"/>
    <xf numFmtId="0" fontId="85" fillId="87" borderId="0" pivotButton="0" quotePrefix="0" xfId="0"/>
    <xf numFmtId="0" fontId="85" fillId="87" borderId="26" pivotButton="0" quotePrefix="0" xfId="1"/>
    <xf numFmtId="0" fontId="65" fillId="0" borderId="26" pivotButton="0" quotePrefix="0" xfId="1"/>
    <xf numFmtId="0" fontId="11" fillId="53" borderId="26" pivotButton="0" quotePrefix="0" xfId="1"/>
    <xf numFmtId="0" fontId="19" fillId="0" borderId="26" pivotButton="0" quotePrefix="1" xfId="1"/>
    <xf numFmtId="0" fontId="85" fillId="88" borderId="0" pivotButton="0" quotePrefix="0" xfId="0"/>
    <xf numFmtId="0" fontId="11" fillId="89" borderId="0" pivotButton="0" quotePrefix="0" xfId="0"/>
    <xf numFmtId="0" fontId="85" fillId="88" borderId="26" pivotButton="0" quotePrefix="0" xfId="1"/>
    <xf numFmtId="0" fontId="11" fillId="89" borderId="26" pivotButton="0" quotePrefix="0" xfId="1"/>
    <xf numFmtId="0" fontId="86" fillId="0" borderId="0" pivotButton="0" quotePrefix="0" xfId="0"/>
    <xf numFmtId="0" fontId="87" fillId="53" borderId="0" pivotButton="0" quotePrefix="0" xfId="0"/>
    <xf numFmtId="0" fontId="88" fillId="88" borderId="0" pivotButton="0" quotePrefix="0" xfId="0"/>
    <xf numFmtId="0" fontId="86" fillId="0" borderId="0" pivotButton="0" quotePrefix="1" xfId="0"/>
    <xf numFmtId="0" fontId="87" fillId="89" borderId="0" pivotButton="0" quotePrefix="0" xfId="0"/>
    <xf numFmtId="2" fontId="2" fillId="3" borderId="0" applyAlignment="1" pivotButton="0" quotePrefix="0" xfId="0">
      <alignment horizontal="left" vertical="center" wrapText="1"/>
    </xf>
    <xf numFmtId="0" fontId="0" fillId="0" borderId="0" pivotButton="0" quotePrefix="0" xfId="0"/>
    <xf numFmtId="2" fontId="2" fillId="3" borderId="0" applyAlignment="1" pivotButton="0" quotePrefix="0" xfId="0">
      <alignment horizontal="left" vertical="center"/>
    </xf>
    <xf numFmtId="0" fontId="2" fillId="2" borderId="8" applyAlignment="1" pivotButton="0" quotePrefix="0" xfId="0">
      <alignment vertical="center" wrapText="1"/>
    </xf>
    <xf numFmtId="0" fontId="4" fillId="0" borderId="9" pivotButton="0" quotePrefix="0" xfId="0"/>
    <xf numFmtId="0" fontId="4" fillId="0" borderId="10" pivotButton="0" quotePrefix="0" xfId="0"/>
    <xf numFmtId="0" fontId="4" fillId="0" borderId="0" applyAlignment="1" pivotButton="0" quotePrefix="0" xfId="0">
      <alignment vertical="center" wrapText="1"/>
    </xf>
    <xf numFmtId="0" fontId="2" fillId="28" borderId="8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/>
    </xf>
    <xf numFmtId="0" fontId="2" fillId="9" borderId="8" applyAlignment="1" pivotButton="0" quotePrefix="0" xfId="0">
      <alignment vertical="center" wrapText="1"/>
    </xf>
    <xf numFmtId="49" fontId="11" fillId="3" borderId="21" applyAlignment="1" pivotButton="0" quotePrefix="0" xfId="0">
      <alignment horizontal="center"/>
    </xf>
    <xf numFmtId="0" fontId="4" fillId="0" borderId="22" pivotButton="0" quotePrefix="0" xfId="0"/>
    <xf numFmtId="0" fontId="4" fillId="0" borderId="23" pivotButton="0" quotePrefix="0" xfId="0"/>
    <xf numFmtId="49" fontId="11" fillId="38" borderId="25" applyAlignment="1" pivotButton="0" quotePrefix="0" xfId="0">
      <alignment horizontal="center"/>
    </xf>
    <xf numFmtId="0" fontId="4" fillId="0" borderId="26" pivotButton="0" quotePrefix="0" xfId="0"/>
    <xf numFmtId="49" fontId="11" fillId="38" borderId="25" pivotButton="0" quotePrefix="0" xfId="0"/>
    <xf numFmtId="0" fontId="35" fillId="62" borderId="0" applyAlignment="1" pivotButton="0" quotePrefix="0" xfId="0">
      <alignment horizontal="center"/>
    </xf>
    <xf numFmtId="0" fontId="35" fillId="64" borderId="0" applyAlignment="1" pivotButton="0" quotePrefix="0" xfId="0">
      <alignment horizontal="center"/>
    </xf>
    <xf numFmtId="0" fontId="35" fillId="64" borderId="0" applyAlignment="1" pivotButton="0" quotePrefix="0" xfId="0">
      <alignment horizontal="center" wrapText="1"/>
    </xf>
    <xf numFmtId="0" fontId="35" fillId="62" borderId="0" applyAlignment="1" pivotButton="0" quotePrefix="0" xfId="0">
      <alignment horizontal="center" wrapText="1"/>
    </xf>
    <xf numFmtId="0" fontId="0" fillId="0" borderId="37" pivotButton="0" quotePrefix="0" xfId="0"/>
    <xf numFmtId="0" fontId="0" fillId="0" borderId="43" pivotButton="0" quotePrefix="0" xfId="0"/>
    <xf numFmtId="0" fontId="0" fillId="0" borderId="41" pivotButton="0" quotePrefix="0" xfId="0"/>
    <xf numFmtId="0" fontId="0" fillId="0" borderId="44" pivotButton="0" quotePrefix="0" xfId="0"/>
    <xf numFmtId="0" fontId="0" fillId="0" borderId="26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24" fillId="83" borderId="0" applyAlignment="1" pivotButton="0" quotePrefix="0" xfId="0">
      <alignment horizontal="center"/>
    </xf>
    <xf numFmtId="0" fontId="89" fillId="0" borderId="0" applyAlignment="1" pivotButton="0" quotePrefix="0" xfId="0">
      <alignment vertical="top" wrapText="1"/>
    </xf>
    <xf numFmtId="0" fontId="85" fillId="87" borderId="0" applyAlignment="1" pivotButton="0" quotePrefix="0" xfId="0">
      <alignment horizontal="center"/>
    </xf>
    <xf numFmtId="0" fontId="85" fillId="88" borderId="0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Tony Koop</author>
  </authors>
  <commentList>
    <comment ref="B5" authorId="0" shapeId="0">
      <text>
        <t>Tony Koop:
51.5 cm full-size traditional kora bowl</t>
      </text>
    </comment>
    <comment ref="B6" authorId="0" shapeId="0">
      <text>
        <t>Tony Koop:
25 cm traditional depth</t>
      </text>
    </comment>
    <comment ref="B7" authorId="0" shapeId="0">
      <text>
        <t>Tony Koop:
130 cm traditional neck</t>
      </text>
    </comment>
    <comment ref="B8" authorId="0" shapeId="0">
      <text>
        <t>Tony Koop:
22 cm — highest string (D6)</t>
      </text>
    </comment>
    <comment ref="B9" authorId="0" shapeId="0">
      <text>
        <t>Tony Koop:
79 cm — lowest string (F3)</t>
      </text>
    </comment>
    <comment ref="E28" authorId="0" shapeId="0">
      <text>
        <t>Tony Koop:
Hemispherical profile: narrower at top (neck), widest at equator</t>
      </text>
    </comment>
    <comment ref="E29" authorId="0" shapeId="0">
      <text>
        <t>Tony Koop:
Hemispherical profile: narrower at top (neck), widest at equator</t>
      </text>
    </comment>
    <comment ref="E30" authorId="0" shapeId="0">
      <text>
        <t>Tony Koop:
Hemispherical profile: narrower at top (neck), widest at equator</t>
      </text>
    </comment>
    <comment ref="E31" authorId="0" shapeId="0">
      <text>
        <t>Tony Koop:
Hemispherical profile: narrower at top (neck), widest at equator</t>
      </text>
    </comment>
    <comment ref="E32" authorId="0" shapeId="0">
      <text>
        <t>Tony Koop:
Hemispherical profile: narrower at top (neck), widest at equator</t>
      </text>
    </comment>
    <comment ref="E33" authorId="0" shapeId="0">
      <text>
        <t>Tony Koop:
Hemispherical profile: narrower at top (neck), widest at equator</t>
      </text>
    </comment>
    <comment ref="E34" authorId="0" shapeId="0">
      <text>
        <t>Tony Koop:
Hemispherical profile: narrower at top (neck), widest at equator</t>
      </text>
    </comment>
    <comment ref="E35" authorId="0" shapeId="0">
      <text>
        <t>Tony Koop:
Hemispherical profile: narrower at top (neck), widest at equator</t>
      </text>
    </comment>
    <comment ref="E36" authorId="0" shapeId="0">
      <text>
        <t>Tony Koop:
Hemispherical profile: narrower at top (neck), widest at equator</t>
      </text>
    </comment>
    <comment ref="E37" authorId="0" shapeId="0">
      <text>
        <t>Tony Koop:
Hemispherical profile: narrower at top (neck), widest at equator</t>
      </text>
    </comment>
    <comment ref="E38" authorId="0" shapeId="0">
      <text>
        <t>Tony Koop:
Hemispherical profile: narrower at top (neck), widest at equator</t>
      </text>
    </comment>
    <comment ref="E39" authorId="0" shapeId="0">
      <text>
        <t>Tony Koop:
Hemispherical profile: narrower at top (neck), widest at equator</t>
      </text>
    </comment>
    <comment ref="E40" authorId="0" shapeId="0">
      <text>
        <t>Tony Koop:
Hemispherical profile: narrower at top (neck), widest at equator</t>
      </text>
    </comment>
    <comment ref="E41" authorId="0" shapeId="0">
      <text>
        <t>Tony Koop:
Hemispherical profile: narrower at top (neck), widest at equator</t>
      </text>
    </comment>
    <comment ref="I42" authorId="0" shapeId="0">
      <text>
        <t>Tony Koop:
Should match B24 (total pieces)</t>
      </text>
    </comment>
    <comment ref="K59" authorId="0" shapeId="0">
      <text>
        <t>Tony Koop:
⚠️ Over 80% breaking — risk of breakage. Increase vibrating length or reduce treble tension.</t>
      </text>
    </comment>
    <comment ref="K60" authorId="0" shapeId="0">
      <text>
        <t>Tony Koop:
⚠️ Over 80% breaking</t>
      </text>
    </comment>
    <comment ref="K61" authorId="0" shapeId="0">
      <text>
        <t>Tony Koop:
⚠️ Over 80% breaking</t>
      </text>
    </comment>
    <comment ref="K62" authorId="0" shapeId="0">
      <text>
        <t>Tony Koop:
⚠️ Over 80% breaking</t>
      </text>
    </comment>
    <comment ref="K63" authorId="0" shapeId="0">
      <text>
        <t>Tony Koop:
⚠️ Over 80% breaking</t>
      </text>
    </comment>
    <comment ref="K76" authorId="0" shapeId="0">
      <text>
        <t>Tony Koop:
⚠️ Wound string over 80% breaking — increase vibrating length or use heavier gauge</t>
      </text>
    </comment>
    <comment ref="L79" authorId="0" shapeId="0">
      <text>
        <t>Tony Koop:
String 21 doubles string 20 (F3) — traditional kora has both hands share the bass F</t>
      </text>
    </comment>
    <comment ref="E103" authorId="0" shapeId="0">
      <text>
        <t>Tony Koop:
Height × max width × thickness — see stave bowl section above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4"/>
  <sheetViews>
    <sheetView zoomScaleNormal="100" workbookViewId="0">
      <pane ySplit="3" topLeftCell="A116" activePane="bottomLeft" state="frozen"/>
      <selection pane="bottomLeft" activeCell="A161" sqref="A161:A221"/>
    </sheetView>
  </sheetViews>
  <sheetFormatPr baseColWidth="8" defaultRowHeight="12.75"/>
  <cols>
    <col width="137.140625" customWidth="1" style="817" min="1" max="1"/>
    <col width="26.7109375" customWidth="1" style="817" min="2" max="2"/>
    <col width="49.5703125" customWidth="1" style="817" min="3" max="3"/>
    <col width="15.28515625" customWidth="1" style="817" min="4" max="4"/>
    <col width="38.140625" customWidth="1" style="817" min="5" max="5"/>
    <col width="26.7109375" customWidth="1" style="817" min="6" max="6"/>
    <col width="19" customWidth="1" style="817" min="7" max="8"/>
    <col width="17.140625" customWidth="1" style="817" min="9" max="9"/>
    <col width="15.28515625" customWidth="1" style="817" min="10" max="11"/>
    <col width="13.28515625" customWidth="1" style="817" min="12" max="12"/>
  </cols>
  <sheetData>
    <row r="1" ht="18" customHeight="1" s="817">
      <c r="A1" s="470" t="inlineStr">
        <is>
          <t>Kora (21-String) — Segmented Bowl + Mersenne-Taylor String Schedule</t>
        </is>
      </c>
    </row>
    <row r="2">
      <c r="A2" s="734" t="inlineStr">
        <is>
          <t>West African Harp-Lute · Segmented or Stave Bowl · Goatskin Head · Notched Bridge · 2 String Ranks</t>
        </is>
      </c>
    </row>
    <row r="4" ht="15" customHeight="1" s="817">
      <c r="A4" s="735" t="inlineStr">
        <is>
          <t>DESIGN INPUTS</t>
        </is>
      </c>
      <c r="B4" s="736" t="n"/>
      <c r="C4" s="736" t="n"/>
    </row>
    <row r="5">
      <c r="A5" t="inlineStr">
        <is>
          <t>Bowl Outer Diameter (in)</t>
        </is>
      </c>
      <c r="B5" s="565" t="n">
        <v>20.3</v>
      </c>
      <c r="C5" t="inlineStr">
        <is>
          <t>← 51.5 cm traditional; Havlena build = 16"</t>
        </is>
      </c>
    </row>
    <row r="6">
      <c r="A6" t="inlineStr">
        <is>
          <t>Bowl Depth (in)</t>
        </is>
      </c>
      <c r="B6" s="565" t="n">
        <v>9.800000000000001</v>
      </c>
      <c r="C6" t="inlineStr">
        <is>
          <t>← 25 cm traditional; Havlena = 10.25"</t>
        </is>
      </c>
    </row>
    <row r="7">
      <c r="A7" t="inlineStr">
        <is>
          <t>Neck Length (in)</t>
        </is>
      </c>
      <c r="B7" s="565" t="n">
        <v>51.2</v>
      </c>
      <c r="C7" t="inlineStr">
        <is>
          <t>← 130 cm traditional; Havlena = 49"</t>
        </is>
      </c>
    </row>
    <row r="8">
      <c r="A8" t="inlineStr">
        <is>
          <t>Shortest String Length (in)</t>
        </is>
      </c>
      <c r="B8" s="565" t="n">
        <v>8.699999999999999</v>
      </c>
      <c r="C8" t="inlineStr">
        <is>
          <t>← 22 cm (D6, highest)</t>
        </is>
      </c>
    </row>
    <row r="9">
      <c r="A9" t="inlineStr">
        <is>
          <t>Longest String Length (in)</t>
        </is>
      </c>
      <c r="B9" s="565" t="n">
        <v>31.1</v>
      </c>
      <c r="C9" t="inlineStr">
        <is>
          <t>← 79 cm (F3, lowest)</t>
        </is>
      </c>
    </row>
    <row r="10">
      <c r="A10" t="inlineStr">
        <is>
          <t>Target Tension — Treble (lbs)</t>
        </is>
      </c>
      <c r="B10" s="565" t="n">
        <v>8</v>
      </c>
      <c r="C10" t="inlineStr">
        <is>
          <t>Strings 1–7 (right hand, high)</t>
        </is>
      </c>
    </row>
    <row r="11">
      <c r="A11" t="inlineStr">
        <is>
          <t>Target Tension — Bass (lbs)</t>
        </is>
      </c>
      <c r="B11" s="565" t="n">
        <v>14</v>
      </c>
      <c r="C11" t="inlineStr">
        <is>
          <t>Strings 15–21 (left hand, low)</t>
        </is>
      </c>
    </row>
    <row r="12">
      <c r="A12" t="inlineStr">
        <is>
          <t>Nylon Density (lb/in³)</t>
        </is>
      </c>
      <c r="B12" s="701" t="n">
        <v>0.04155</v>
      </c>
    </row>
    <row r="13">
      <c r="A13" t="inlineStr">
        <is>
          <t>Wound Density Factor</t>
        </is>
      </c>
      <c r="B13" s="565" t="n">
        <v>2.5</v>
      </c>
      <c r="C13" t="inlineStr">
        <is>
          <t>× nylon density for wound bass strings</t>
        </is>
      </c>
    </row>
    <row r="14">
      <c r="A14" t="inlineStr">
        <is>
          <t>Wound String Start (#)</t>
        </is>
      </c>
      <c r="B14" s="737" t="n">
        <v>18</v>
      </c>
      <c r="C14" t="inlineStr">
        <is>
          <t>Strings 18–21 use wound construction</t>
        </is>
      </c>
    </row>
    <row r="15">
      <c r="A15" t="inlineStr">
        <is>
          <t>Head Material</t>
        </is>
      </c>
      <c r="B15" s="564" t="inlineStr">
        <is>
          <t>Goatskin</t>
        </is>
      </c>
    </row>
    <row r="16">
      <c r="A16" t="inlineStr">
        <is>
          <t>Bowl Wood</t>
        </is>
      </c>
      <c r="B16" s="564" t="inlineStr">
        <is>
          <t>Black Walnut</t>
        </is>
      </c>
      <c r="C16" t="inlineStr">
        <is>
          <t>← Replaces traditional calabash gourd</t>
        </is>
      </c>
    </row>
    <row r="18" ht="15" customHeight="1" s="817">
      <c r="A18" s="738" t="inlineStr">
        <is>
          <t>SEGMENTED BOWL — Option A (Ring-Stack-and-Turn)</t>
        </is>
      </c>
      <c r="B18" s="739" t="n"/>
      <c r="C18" s="739" t="n"/>
      <c r="D18" s="739" t="n"/>
      <c r="E18" s="739" t="n"/>
      <c r="F18" s="739" t="n"/>
      <c r="G18" s="739" t="n"/>
      <c r="H18" s="739" t="n"/>
      <c r="I18" s="739" t="n"/>
    </row>
    <row r="19">
      <c r="A19" t="inlineStr">
        <is>
          <t>Segments per Ring</t>
        </is>
      </c>
      <c r="B19" s="564" t="n">
        <v>12</v>
      </c>
      <c r="C19" t="inlineStr">
        <is>
          <t>← 12 gives 15° miter angle</t>
        </is>
      </c>
      <c r="F19" s="472" t="inlineStr">
        <is>
          <t>WOOD SPECIES</t>
        </is>
      </c>
    </row>
    <row r="20">
      <c r="A20" t="inlineStr">
        <is>
          <t>Ring Thickness (in)</t>
        </is>
      </c>
      <c r="B20" s="596" t="n">
        <v>0.75</v>
      </c>
      <c r="F20" t="inlineStr">
        <is>
          <t>Black Walnut</t>
        </is>
      </c>
      <c r="G20" s="540">
        <f>ROUNDDOWN(B24*0.45,0)</f>
        <v/>
      </c>
      <c r="H20" t="inlineStr">
        <is>
          <t>segments</t>
        </is>
      </c>
    </row>
    <row r="21">
      <c r="A21" t="inlineStr">
        <is>
          <t>Miter Angle (°)</t>
        </is>
      </c>
      <c r="B21" s="469">
        <f>180/B19</f>
        <v/>
      </c>
      <c r="C21" t="inlineStr">
        <is>
          <t>← =180/segments</t>
        </is>
      </c>
      <c r="F21" t="inlineStr">
        <is>
          <t>Hard Maple</t>
        </is>
      </c>
      <c r="G21" s="540">
        <f>ROUNDDOWN(B24*0.3,0)</f>
        <v/>
      </c>
      <c r="H21" t="inlineStr">
        <is>
          <t>segments</t>
        </is>
      </c>
    </row>
    <row r="22">
      <c r="A22" t="inlineStr">
        <is>
          <t>Bowl Height (in)</t>
        </is>
      </c>
      <c r="B22" s="741">
        <f>B6</f>
        <v/>
      </c>
      <c r="C22" t="inlineStr">
        <is>
          <t>← links to Bowl Depth input</t>
        </is>
      </c>
      <c r="F22" t="inlineStr">
        <is>
          <t>Cherry</t>
        </is>
      </c>
      <c r="G22" s="540">
        <f>B24-G20-G21</f>
        <v/>
      </c>
      <c r="H22" t="inlineStr">
        <is>
          <t>segments</t>
        </is>
      </c>
    </row>
    <row r="23">
      <c r="A23" t="inlineStr">
        <is>
          <t>Number of Rings</t>
        </is>
      </c>
      <c r="B23" s="540">
        <f>ROUNDUP(B22/B20,0)</f>
        <v/>
      </c>
      <c r="F23" t="inlineStr">
        <is>
          <t>Total</t>
        </is>
      </c>
      <c r="G23" s="742">
        <f>G20+G21+G22</f>
        <v/>
      </c>
    </row>
    <row r="24">
      <c r="A24" t="inlineStr">
        <is>
          <t>Total Pieces</t>
        </is>
      </c>
      <c r="B24" s="540">
        <f>B23*B19</f>
        <v/>
      </c>
      <c r="F24" s="641" t="n"/>
    </row>
    <row r="25">
      <c r="F25" s="734" t="inlineStr">
        <is>
          <t>Alternating Walnut/Maple rings</t>
        </is>
      </c>
    </row>
    <row r="26">
      <c r="A26" s="472" t="inlineStr">
        <is>
          <t>RING-BY-RING CUT LIST</t>
        </is>
      </c>
      <c r="F26" s="734" t="inlineStr">
        <is>
          <t>with Cherry accent bands</t>
        </is>
      </c>
    </row>
    <row r="27">
      <c r="A27" s="475" t="inlineStr">
        <is>
          <t>Ring</t>
        </is>
      </c>
      <c r="B27" s="475" t="inlineStr">
        <is>
          <t>Board W</t>
        </is>
      </c>
      <c r="C27" s="475" t="inlineStr">
        <is>
          <t>Board L</t>
        </is>
      </c>
      <c r="D27" s="475" t="inlineStr">
        <is>
          <t>S.E.L.</t>
        </is>
      </c>
      <c r="E27" s="475" t="inlineStr">
        <is>
          <t>Outer Ø</t>
        </is>
      </c>
      <c r="F27" s="475" t="inlineStr">
        <is>
          <t>Walnut</t>
        </is>
      </c>
      <c r="G27" s="475" t="inlineStr">
        <is>
          <t>Maple</t>
        </is>
      </c>
      <c r="H27" s="475" t="inlineStr">
        <is>
          <t>Cherry</t>
        </is>
      </c>
      <c r="I27" s="475" t="inlineStr">
        <is>
          <t>Zone</t>
        </is>
      </c>
    </row>
    <row r="28">
      <c r="A28" t="n">
        <v>1</v>
      </c>
      <c r="B28" s="482">
        <f>$B$20</f>
        <v/>
      </c>
      <c r="C28" s="481">
        <f>E28*PI()/$B$19+1</f>
        <v/>
      </c>
      <c r="D28" s="482">
        <f>PI()*E28/$B$19</f>
        <v/>
      </c>
      <c r="E28" s="481">
        <f>$B$5*SQRT(1-((A28-0.5)/$B$23-1)^2)*0.4+$B$5*0.25</f>
        <v/>
      </c>
      <c r="F28" s="540">
        <f>IF(MOD(A28,3)=1,$B$19,0)</f>
        <v/>
      </c>
      <c r="G28" s="540">
        <f>IF(MOD(A28,3)=2,$B$19,0)</f>
        <v/>
      </c>
      <c r="H28" s="540">
        <f>IF(MOD(A28,3)=0,$B$19,0)</f>
        <v/>
      </c>
      <c r="I28" s="733">
        <f>IF(A28&lt;=3,"Top (neck)",IF(A28&lt;=$B$23*0.5,"Upper bowl",IF(A28&lt;=$B$23*0.85,"Lower bowl","Rim")))</f>
        <v/>
      </c>
    </row>
    <row r="29">
      <c r="A29" t="n">
        <v>2</v>
      </c>
      <c r="B29" s="482">
        <f>$B$20</f>
        <v/>
      </c>
      <c r="C29" s="481">
        <f>E29*PI()/$B$19+1</f>
        <v/>
      </c>
      <c r="D29" s="482">
        <f>PI()*E29/$B$19</f>
        <v/>
      </c>
      <c r="E29" s="481">
        <f>$B$5*SQRT(1-((A29-0.5)/$B$23-1)^2)*0.4+$B$5*0.25</f>
        <v/>
      </c>
      <c r="F29" s="540">
        <f>IF(MOD(A29,3)=1,$B$19,0)</f>
        <v/>
      </c>
      <c r="G29" s="540">
        <f>IF(MOD(A29,3)=2,$B$19,0)</f>
        <v/>
      </c>
      <c r="H29" s="540">
        <f>IF(MOD(A29,3)=0,$B$19,0)</f>
        <v/>
      </c>
      <c r="I29" s="733">
        <f>IF(A29&lt;=3,"Top (neck)",IF(A29&lt;=$B$23*0.5,"Upper bowl",IF(A29&lt;=$B$23*0.85,"Lower bowl","Rim")))</f>
        <v/>
      </c>
    </row>
    <row r="30">
      <c r="A30" t="n">
        <v>3</v>
      </c>
      <c r="B30" s="482">
        <f>$B$20</f>
        <v/>
      </c>
      <c r="C30" s="481">
        <f>E30*PI()/$B$19+1</f>
        <v/>
      </c>
      <c r="D30" s="482">
        <f>PI()*E30/$B$19</f>
        <v/>
      </c>
      <c r="E30" s="481">
        <f>$B$5*SQRT(1-((A30-0.5)/$B$23-1)^2)*0.4+$B$5*0.25</f>
        <v/>
      </c>
      <c r="F30" s="540">
        <f>IF(MOD(A30,3)=1,$B$19,0)</f>
        <v/>
      </c>
      <c r="G30" s="540">
        <f>IF(MOD(A30,3)=2,$B$19,0)</f>
        <v/>
      </c>
      <c r="H30" s="540">
        <f>IF(MOD(A30,3)=0,$B$19,0)</f>
        <v/>
      </c>
      <c r="I30" s="733">
        <f>IF(A30&lt;=3,"Top (neck)",IF(A30&lt;=$B$23*0.5,"Upper bowl",IF(A30&lt;=$B$23*0.85,"Lower bowl","Rim")))</f>
        <v/>
      </c>
    </row>
    <row r="31">
      <c r="A31" t="n">
        <v>4</v>
      </c>
      <c r="B31" s="482">
        <f>$B$20</f>
        <v/>
      </c>
      <c r="C31" s="481">
        <f>E31*PI()/$B$19+1</f>
        <v/>
      </c>
      <c r="D31" s="482">
        <f>PI()*E31/$B$19</f>
        <v/>
      </c>
      <c r="E31" s="481">
        <f>$B$5*SQRT(1-((A31-0.5)/$B$23-1)^2)*0.4+$B$5*0.25</f>
        <v/>
      </c>
      <c r="F31" s="540">
        <f>IF(MOD(A31,3)=1,$B$19,0)</f>
        <v/>
      </c>
      <c r="G31" s="540">
        <f>IF(MOD(A31,3)=2,$B$19,0)</f>
        <v/>
      </c>
      <c r="H31" s="540">
        <f>IF(MOD(A31,3)=0,$B$19,0)</f>
        <v/>
      </c>
      <c r="I31" s="733">
        <f>IF(A31&lt;=3,"Top (neck)",IF(A31&lt;=$B$23*0.5,"Upper bowl",IF(A31&lt;=$B$23*0.85,"Lower bowl","Rim")))</f>
        <v/>
      </c>
    </row>
    <row r="32">
      <c r="A32" t="n">
        <v>5</v>
      </c>
      <c r="B32" s="482">
        <f>$B$20</f>
        <v/>
      </c>
      <c r="C32" s="481">
        <f>E32*PI()/$B$19+1</f>
        <v/>
      </c>
      <c r="D32" s="482">
        <f>PI()*E32/$B$19</f>
        <v/>
      </c>
      <c r="E32" s="481">
        <f>$B$5*SQRT(1-((A32-0.5)/$B$23-1)^2)*0.4+$B$5*0.25</f>
        <v/>
      </c>
      <c r="F32" s="540">
        <f>IF(MOD(A32,3)=1,$B$19,0)</f>
        <v/>
      </c>
      <c r="G32" s="540">
        <f>IF(MOD(A32,3)=2,$B$19,0)</f>
        <v/>
      </c>
      <c r="H32" s="540">
        <f>IF(MOD(A32,3)=0,$B$19,0)</f>
        <v/>
      </c>
      <c r="I32" s="733">
        <f>IF(A32&lt;=3,"Top (neck)",IF(A32&lt;=$B$23*0.5,"Upper bowl",IF(A32&lt;=$B$23*0.85,"Lower bowl","Rim")))</f>
        <v/>
      </c>
    </row>
    <row r="33">
      <c r="A33" t="n">
        <v>6</v>
      </c>
      <c r="B33" s="482">
        <f>$B$20</f>
        <v/>
      </c>
      <c r="C33" s="481">
        <f>E33*PI()/$B$19+1</f>
        <v/>
      </c>
      <c r="D33" s="482">
        <f>PI()*E33/$B$19</f>
        <v/>
      </c>
      <c r="E33" s="481">
        <f>$B$5*SQRT(1-((A33-0.5)/$B$23-1)^2)*0.4+$B$5*0.25</f>
        <v/>
      </c>
      <c r="F33" s="540">
        <f>IF(MOD(A33,3)=1,$B$19,0)</f>
        <v/>
      </c>
      <c r="G33" s="540">
        <f>IF(MOD(A33,3)=2,$B$19,0)</f>
        <v/>
      </c>
      <c r="H33" s="540">
        <f>IF(MOD(A33,3)=0,$B$19,0)</f>
        <v/>
      </c>
      <c r="I33" s="733">
        <f>IF(A33&lt;=3,"Top (neck)",IF(A33&lt;=$B$23*0.5,"Upper bowl",IF(A33&lt;=$B$23*0.85,"Lower bowl","Rim")))</f>
        <v/>
      </c>
    </row>
    <row r="34">
      <c r="A34" t="n">
        <v>7</v>
      </c>
      <c r="B34" s="482">
        <f>$B$20</f>
        <v/>
      </c>
      <c r="C34" s="481">
        <f>E34*PI()/$B$19+1</f>
        <v/>
      </c>
      <c r="D34" s="482">
        <f>PI()*E34/$B$19</f>
        <v/>
      </c>
      <c r="E34" s="481">
        <f>$B$5*SQRT(1-((A34-0.5)/$B$23-1)^2)*0.4+$B$5*0.25</f>
        <v/>
      </c>
      <c r="F34" s="540">
        <f>IF(MOD(A34,3)=1,$B$19,0)</f>
        <v/>
      </c>
      <c r="G34" s="540">
        <f>IF(MOD(A34,3)=2,$B$19,0)</f>
        <v/>
      </c>
      <c r="H34" s="540">
        <f>IF(MOD(A34,3)=0,$B$19,0)</f>
        <v/>
      </c>
      <c r="I34" s="733">
        <f>IF(A34&lt;=3,"Top (neck)",IF(A34&lt;=$B$23*0.5,"Upper bowl",IF(A34&lt;=$B$23*0.85,"Lower bowl","Rim")))</f>
        <v/>
      </c>
    </row>
    <row r="35">
      <c r="A35" t="n">
        <v>8</v>
      </c>
      <c r="B35" s="482">
        <f>$B$20</f>
        <v/>
      </c>
      <c r="C35" s="481">
        <f>E35*PI()/$B$19+1</f>
        <v/>
      </c>
      <c r="D35" s="482">
        <f>PI()*E35/$B$19</f>
        <v/>
      </c>
      <c r="E35" s="481">
        <f>$B$5*SQRT(1-((A35-0.5)/$B$23-1)^2)*0.4+$B$5*0.25</f>
        <v/>
      </c>
      <c r="F35" s="540">
        <f>IF(MOD(A35,3)=1,$B$19,0)</f>
        <v/>
      </c>
      <c r="G35" s="540">
        <f>IF(MOD(A35,3)=2,$B$19,0)</f>
        <v/>
      </c>
      <c r="H35" s="540">
        <f>IF(MOD(A35,3)=0,$B$19,0)</f>
        <v/>
      </c>
      <c r="I35" s="733">
        <f>IF(A35&lt;=3,"Top (neck)",IF(A35&lt;=$B$23*0.5,"Upper bowl",IF(A35&lt;=$B$23*0.85,"Lower bowl","Rim")))</f>
        <v/>
      </c>
    </row>
    <row r="36">
      <c r="A36" t="n">
        <v>9</v>
      </c>
      <c r="B36" s="482">
        <f>$B$20</f>
        <v/>
      </c>
      <c r="C36" s="481">
        <f>E36*PI()/$B$19+1</f>
        <v/>
      </c>
      <c r="D36" s="482">
        <f>PI()*E36/$B$19</f>
        <v/>
      </c>
      <c r="E36" s="481">
        <f>$B$5*SQRT(1-((A36-0.5)/$B$23-1)^2)*0.4+$B$5*0.25</f>
        <v/>
      </c>
      <c r="F36" s="540">
        <f>IF(MOD(A36,3)=1,$B$19,0)</f>
        <v/>
      </c>
      <c r="G36" s="540">
        <f>IF(MOD(A36,3)=2,$B$19,0)</f>
        <v/>
      </c>
      <c r="H36" s="540">
        <f>IF(MOD(A36,3)=0,$B$19,0)</f>
        <v/>
      </c>
      <c r="I36" s="733">
        <f>IF(A36&lt;=3,"Top (neck)",IF(A36&lt;=$B$23*0.5,"Upper bowl",IF(A36&lt;=$B$23*0.85,"Lower bowl","Rim")))</f>
        <v/>
      </c>
    </row>
    <row r="37">
      <c r="A37" t="n">
        <v>10</v>
      </c>
      <c r="B37" s="482">
        <f>$B$20</f>
        <v/>
      </c>
      <c r="C37" s="481">
        <f>E37*PI()/$B$19+1</f>
        <v/>
      </c>
      <c r="D37" s="482">
        <f>PI()*E37/$B$19</f>
        <v/>
      </c>
      <c r="E37" s="481">
        <f>$B$5*SQRT(1-((A37-0.5)/$B$23-1)^2)*0.4+$B$5*0.25</f>
        <v/>
      </c>
      <c r="F37" s="540">
        <f>IF(MOD(A37,3)=1,$B$19,0)</f>
        <v/>
      </c>
      <c r="G37" s="540">
        <f>IF(MOD(A37,3)=2,$B$19,0)</f>
        <v/>
      </c>
      <c r="H37" s="540">
        <f>IF(MOD(A37,3)=0,$B$19,0)</f>
        <v/>
      </c>
      <c r="I37" s="733">
        <f>IF(A37&lt;=3,"Top (neck)",IF(A37&lt;=$B$23*0.5,"Upper bowl",IF(A37&lt;=$B$23*0.85,"Lower bowl","Rim")))</f>
        <v/>
      </c>
    </row>
    <row r="38">
      <c r="A38" t="n">
        <v>11</v>
      </c>
      <c r="B38" s="482">
        <f>$B$20</f>
        <v/>
      </c>
      <c r="C38" s="481">
        <f>E38*PI()/$B$19+1</f>
        <v/>
      </c>
      <c r="D38" s="482">
        <f>PI()*E38/$B$19</f>
        <v/>
      </c>
      <c r="E38" s="481">
        <f>$B$5*SQRT(1-((A38-0.5)/$B$23-1)^2)*0.4+$B$5*0.25</f>
        <v/>
      </c>
      <c r="F38" s="540">
        <f>IF(MOD(A38,3)=1,$B$19,0)</f>
        <v/>
      </c>
      <c r="G38" s="540">
        <f>IF(MOD(A38,3)=2,$B$19,0)</f>
        <v/>
      </c>
      <c r="H38" s="540">
        <f>IF(MOD(A38,3)=0,$B$19,0)</f>
        <v/>
      </c>
      <c r="I38" s="733">
        <f>IF(A38&lt;=3,"Top (neck)",IF(A38&lt;=$B$23*0.5,"Upper bowl",IF(A38&lt;=$B$23*0.85,"Lower bowl","Rim")))</f>
        <v/>
      </c>
    </row>
    <row r="39">
      <c r="A39" t="n">
        <v>12</v>
      </c>
      <c r="B39" s="482">
        <f>$B$20</f>
        <v/>
      </c>
      <c r="C39" s="481">
        <f>E39*PI()/$B$19+1</f>
        <v/>
      </c>
      <c r="D39" s="482">
        <f>PI()*E39/$B$19</f>
        <v/>
      </c>
      <c r="E39" s="481">
        <f>$B$5*SQRT(1-((A39-0.5)/$B$23-1)^2)*0.4+$B$5*0.25</f>
        <v/>
      </c>
      <c r="F39" s="540">
        <f>IF(MOD(A39,3)=1,$B$19,0)</f>
        <v/>
      </c>
      <c r="G39" s="540">
        <f>IF(MOD(A39,3)=2,$B$19,0)</f>
        <v/>
      </c>
      <c r="H39" s="540">
        <f>IF(MOD(A39,3)=0,$B$19,0)</f>
        <v/>
      </c>
      <c r="I39" s="733">
        <f>IF(A39&lt;=3,"Top (neck)",IF(A39&lt;=$B$23*0.5,"Upper bowl",IF(A39&lt;=$B$23*0.85,"Lower bowl","Rim")))</f>
        <v/>
      </c>
    </row>
    <row r="40">
      <c r="A40" t="n">
        <v>13</v>
      </c>
      <c r="B40" s="482">
        <f>$B$20</f>
        <v/>
      </c>
      <c r="C40" s="481">
        <f>E40*PI()/$B$19+1</f>
        <v/>
      </c>
      <c r="D40" s="482">
        <f>PI()*E40/$B$19</f>
        <v/>
      </c>
      <c r="E40" s="481">
        <f>$B$5*SQRT(1-((A40-0.5)/$B$23-1)^2)*0.4+$B$5*0.25</f>
        <v/>
      </c>
      <c r="F40" s="540">
        <f>IF(MOD(A40,3)=1,$B$19,0)</f>
        <v/>
      </c>
      <c r="G40" s="540">
        <f>IF(MOD(A40,3)=2,$B$19,0)</f>
        <v/>
      </c>
      <c r="H40" s="540">
        <f>IF(MOD(A40,3)=0,$B$19,0)</f>
        <v/>
      </c>
      <c r="I40" s="733">
        <f>IF(A40&lt;=3,"Top (neck)",IF(A40&lt;=$B$23*0.5,"Upper bowl",IF(A40&lt;=$B$23*0.85,"Lower bowl","Rim")))</f>
        <v/>
      </c>
    </row>
    <row r="41">
      <c r="A41" t="n">
        <v>14</v>
      </c>
      <c r="B41" s="482">
        <f>$B$20</f>
        <v/>
      </c>
      <c r="C41" s="481">
        <f>E41*PI()/$B$19+1</f>
        <v/>
      </c>
      <c r="D41" s="482">
        <f>PI()*E41/$B$19</f>
        <v/>
      </c>
      <c r="E41" s="481">
        <f>$B$5*SQRT(1-((A41-0.5)/$B$23-1)^2)*0.4+$B$5*0.25</f>
        <v/>
      </c>
      <c r="F41" s="540">
        <f>IF(MOD(A41,3)=1,$B$19,0)</f>
        <v/>
      </c>
      <c r="G41" s="540">
        <f>IF(MOD(A41,3)=2,$B$19,0)</f>
        <v/>
      </c>
      <c r="H41" s="540">
        <f>IF(MOD(A41,3)=0,$B$19,0)</f>
        <v/>
      </c>
      <c r="I41" s="733">
        <f>IF(A41&lt;=3,"Top (neck)",IF(A41&lt;=$B$23*0.5,"Upper bowl",IF(A41&lt;=$B$23*0.85,"Lower bowl","Rim")))</f>
        <v/>
      </c>
    </row>
    <row r="42">
      <c r="A42" s="472" t="inlineStr">
        <is>
          <t>TOTALS</t>
        </is>
      </c>
      <c r="D42" s="472" t="n"/>
      <c r="E42" s="472" t="n"/>
      <c r="F42" s="742">
        <f>SUM(F28:F41)</f>
        <v/>
      </c>
      <c r="G42" s="742">
        <f>SUM(G28:G41)</f>
        <v/>
      </c>
      <c r="H42" s="742">
        <f>SUM(H28:H41)</f>
        <v/>
      </c>
      <c r="I42" s="742">
        <f>F42+G42+H42</f>
        <v/>
      </c>
    </row>
    <row r="44" ht="15" customHeight="1" s="817">
      <c r="A44" s="738" t="inlineStr">
        <is>
          <t>STAVE BOWL — Option B (Vertical Staves, Glue-Edge-to-Edge)</t>
        </is>
      </c>
      <c r="B44" s="739" t="n"/>
      <c r="C44" s="739" t="n"/>
      <c r="D44" s="739" t="n"/>
      <c r="E44" s="739" t="n"/>
      <c r="F44" s="739" t="n"/>
      <c r="G44" s="739" t="n"/>
      <c r="H44" s="739" t="n"/>
      <c r="I44" s="739" t="n"/>
    </row>
    <row r="45">
      <c r="A45" t="inlineStr">
        <is>
          <t>Number of Staves</t>
        </is>
      </c>
      <c r="B45" s="564" t="n">
        <v>16</v>
      </c>
      <c r="C45" t="inlineStr">
        <is>
          <t>← Even number; more staves = smoother curve</t>
        </is>
      </c>
    </row>
    <row r="46">
      <c r="A46" t="inlineStr">
        <is>
          <t>Stave Miter Angle (°)</t>
        </is>
      </c>
      <c r="B46" s="469">
        <f>180/B45</f>
        <v/>
      </c>
    </row>
    <row r="47">
      <c r="A47" t="inlineStr">
        <is>
          <t>Stave Height (in)</t>
        </is>
      </c>
      <c r="B47" s="481">
        <f>B6+1</f>
        <v/>
      </c>
      <c r="C47" t="inlineStr">
        <is>
          <t>← Bowl depth + 1" for rim overshoot</t>
        </is>
      </c>
    </row>
    <row r="48">
      <c r="A48" t="inlineStr">
        <is>
          <t>Stave Width at Rim (in)</t>
        </is>
      </c>
      <c r="B48" s="482">
        <f>PI()*B5/B45</f>
        <v/>
      </c>
      <c r="C48" t="inlineStr">
        <is>
          <t>← = π × bowl_Ø / num_staves</t>
        </is>
      </c>
    </row>
    <row r="49">
      <c r="A49" t="inlineStr">
        <is>
          <t>Stave Width at Neck (in)</t>
        </is>
      </c>
      <c r="B49" s="482">
        <f>PI()*E28/B45</f>
        <v/>
      </c>
      <c r="C49" t="inlineStr">
        <is>
          <t>← Tapers to neck hole diameter</t>
        </is>
      </c>
    </row>
    <row r="50">
      <c r="A50" t="inlineStr">
        <is>
          <t>Stave Thickness (in)</t>
        </is>
      </c>
      <c r="B50" s="596" t="n">
        <v>0.5</v>
      </c>
      <c r="C50" t="inlineStr">
        <is>
          <t>← Turns to ~3/8" wall on lathe</t>
        </is>
      </c>
    </row>
    <row r="51">
      <c r="A51" t="inlineStr">
        <is>
          <t>Wood</t>
        </is>
      </c>
      <c r="B51" s="564" t="inlineStr">
        <is>
          <t>Black Walnut</t>
        </is>
      </c>
    </row>
    <row r="52">
      <c r="A52" t="inlineStr">
        <is>
          <t>Method</t>
        </is>
      </c>
      <c r="B52" t="inlineStr">
        <is>
          <t>Rip staves on table saw at miter angle, glue edge-to-edge around form, turn exterior on lathe</t>
        </is>
      </c>
    </row>
    <row r="53">
      <c r="A53" t="inlineStr">
        <is>
          <t>Pro</t>
        </is>
      </c>
      <c r="B53" t="inlineStr">
        <is>
          <t>Faster than segmented (16 pcs vs 168); continuous grain; stronger shell</t>
        </is>
      </c>
    </row>
    <row r="54">
      <c r="A54" t="inlineStr">
        <is>
          <t>Con</t>
        </is>
      </c>
      <c r="B54" t="inlineStr">
        <is>
          <t>Requires CNC-routed interior form OR lathe hollowing; limited decorative patterns</t>
        </is>
      </c>
    </row>
    <row r="56" ht="15" customHeight="1" s="817">
      <c r="A56" s="743" t="inlineStr">
        <is>
          <t>STRING SCHEDULE — Mersenne-Taylor: f = (1/2L)√(T/μ)</t>
        </is>
      </c>
      <c r="B56" s="744" t="n"/>
      <c r="C56" s="744" t="n"/>
      <c r="D56" s="744" t="n"/>
      <c r="E56" s="744" t="n"/>
      <c r="F56" s="744" t="n"/>
      <c r="G56" s="744" t="n"/>
      <c r="H56" s="744" t="n"/>
      <c r="I56" s="744" t="n"/>
      <c r="J56" s="744" t="n"/>
      <c r="K56" s="744" t="n"/>
      <c r="L56" s="744" t="n"/>
    </row>
    <row r="57">
      <c r="A57" s="734" t="inlineStr">
        <is>
          <t>← Vibrating lengths are BLUE INPUT cells — adjust for your neck curve and bridge notch spacing</t>
        </is>
      </c>
    </row>
    <row r="58">
      <c r="A58" s="475" t="inlineStr">
        <is>
          <t>#</t>
        </is>
      </c>
      <c r="B58" s="475" t="inlineStr">
        <is>
          <t>Note</t>
        </is>
      </c>
      <c r="C58" s="475" t="inlineStr">
        <is>
          <t>Oct</t>
        </is>
      </c>
      <c r="D58" s="475" t="inlineStr">
        <is>
          <t>MIDI</t>
        </is>
      </c>
      <c r="E58" s="475" t="inlineStr">
        <is>
          <t>Freq (Hz)</t>
        </is>
      </c>
      <c r="F58" s="475" t="inlineStr">
        <is>
          <t>Vib Len (in)</t>
        </is>
      </c>
      <c r="G58" s="475" t="inlineStr">
        <is>
          <t>Hand</t>
        </is>
      </c>
      <c r="H58" s="475" t="inlineStr">
        <is>
          <t>Material</t>
        </is>
      </c>
      <c r="I58" s="475" t="inlineStr">
        <is>
          <t>Gauge (in)</t>
        </is>
      </c>
      <c r="J58" s="475" t="inlineStr">
        <is>
          <t>Tension (lbs)</t>
        </is>
      </c>
      <c r="K58" s="475" t="inlineStr">
        <is>
          <t>%Breaking</t>
        </is>
      </c>
      <c r="L58" s="475" t="inlineStr">
        <is>
          <t>Color</t>
        </is>
      </c>
    </row>
    <row r="59">
      <c r="A59" t="n">
        <v>1</v>
      </c>
      <c r="B59" t="inlineStr">
        <is>
          <t>D</t>
        </is>
      </c>
      <c r="C59" t="n">
        <v>6</v>
      </c>
      <c r="D59" t="n">
        <v>86</v>
      </c>
      <c r="E59" s="481">
        <f>440*2^((D59-69)/12)</f>
        <v/>
      </c>
      <c r="F59" s="565" t="n">
        <v>8.699999999999999</v>
      </c>
      <c r="G59" s="733" t="inlineStr">
        <is>
          <t>Right</t>
        </is>
      </c>
      <c r="H59">
        <f>IF(A59&gt;=$B$14,"Wound","Nylon")</f>
        <v/>
      </c>
      <c r="I59" s="648">
        <f>2*SQRT(($B$10+(A59-1)*($B$11-$B$10)/20)*386.4/(IF(A59&gt;=$B$14,$B$12*$B$13,$B$12)*PI()*4*F59^2*E59^2))</f>
        <v/>
      </c>
      <c r="J59" s="481">
        <f>IF(A59&gt;=$B$14,$B$12*$B$13,$B$12)*PI()*(I59/2)^2*4*F59^2*E59^2/386.4</f>
        <v/>
      </c>
      <c r="K59" s="755">
        <f>IF(A59&gt;=$B$14,$B$12*$B$13,$B$12)*4*F59^2*E59^2/(44600*386.4)</f>
        <v/>
      </c>
      <c r="L59" t="inlineStr">
        <is>
          <t>White</t>
        </is>
      </c>
    </row>
    <row r="60">
      <c r="A60" t="n">
        <v>2</v>
      </c>
      <c r="B60" t="inlineStr">
        <is>
          <t>C</t>
        </is>
      </c>
      <c r="C60" t="n">
        <v>6</v>
      </c>
      <c r="D60" t="n">
        <v>84</v>
      </c>
      <c r="E60" s="481">
        <f>440*2^((D60-69)/12)</f>
        <v/>
      </c>
      <c r="F60" s="565" t="n">
        <v>9.4</v>
      </c>
      <c r="G60" s="733" t="inlineStr">
        <is>
          <t>Left</t>
        </is>
      </c>
      <c r="H60">
        <f>IF(A60&gt;=$B$14,"Wound","Nylon")</f>
        <v/>
      </c>
      <c r="I60" s="648">
        <f>2*SQRT(($B$10+(A60-1)*($B$11-$B$10)/20)*386.4/(IF(A60&gt;=$B$14,$B$12*$B$13,$B$12)*PI()*4*F60^2*E60^2))</f>
        <v/>
      </c>
      <c r="J60" s="481">
        <f>IF(A60&gt;=$B$14,$B$12*$B$13,$B$12)*PI()*(I60/2)^2*4*F60^2*E60^2/386.4</f>
        <v/>
      </c>
      <c r="K60" s="755">
        <f>IF(A60&gt;=$B$14,$B$12*$B$13,$B$12)*4*F60^2*E60^2/(44600*386.4)</f>
        <v/>
      </c>
      <c r="L60" t="inlineStr">
        <is>
          <t>Red</t>
        </is>
      </c>
    </row>
    <row r="61">
      <c r="A61" t="n">
        <v>3</v>
      </c>
      <c r="B61" t="inlineStr">
        <is>
          <t>Bb</t>
        </is>
      </c>
      <c r="C61" t="n">
        <v>5</v>
      </c>
      <c r="D61" t="n">
        <v>82</v>
      </c>
      <c r="E61" s="481">
        <f>440*2^((D61-69)/12)</f>
        <v/>
      </c>
      <c r="F61" s="565" t="n">
        <v>10.2</v>
      </c>
      <c r="G61" s="733" t="inlineStr">
        <is>
          <t>Right</t>
        </is>
      </c>
      <c r="H61">
        <f>IF(A61&gt;=$B$14,"Wound","Nylon")</f>
        <v/>
      </c>
      <c r="I61" s="648">
        <f>2*SQRT(($B$10+(A61-1)*($B$11-$B$10)/20)*386.4/(IF(A61&gt;=$B$14,$B$12*$B$13,$B$12)*PI()*4*F61^2*E61^2))</f>
        <v/>
      </c>
      <c r="J61" s="481">
        <f>IF(A61&gt;=$B$14,$B$12*$B$13,$B$12)*PI()*(I61/2)^2*4*F61^2*E61^2/386.4</f>
        <v/>
      </c>
      <c r="K61" s="755">
        <f>IF(A61&gt;=$B$14,$B$12*$B$13,$B$12)*4*F61^2*E61^2/(44600*386.4)</f>
        <v/>
      </c>
      <c r="L61" t="inlineStr">
        <is>
          <t>White</t>
        </is>
      </c>
    </row>
    <row r="62">
      <c r="A62" t="n">
        <v>4</v>
      </c>
      <c r="B62" t="inlineStr">
        <is>
          <t>A</t>
        </is>
      </c>
      <c r="C62" t="n">
        <v>5</v>
      </c>
      <c r="D62" t="n">
        <v>81</v>
      </c>
      <c r="E62" s="481">
        <f>440*2^((D62-69)/12)</f>
        <v/>
      </c>
      <c r="F62" s="565" t="n">
        <v>11</v>
      </c>
      <c r="G62" s="733" t="inlineStr">
        <is>
          <t>Left</t>
        </is>
      </c>
      <c r="H62">
        <f>IF(A62&gt;=$B$14,"Wound","Nylon")</f>
        <v/>
      </c>
      <c r="I62" s="648">
        <f>2*SQRT(($B$10+(A62-1)*($B$11-$B$10)/20)*386.4/(IF(A62&gt;=$B$14,$B$12*$B$13,$B$12)*PI()*4*F62^2*E62^2))</f>
        <v/>
      </c>
      <c r="J62" s="481">
        <f>IF(A62&gt;=$B$14,$B$12*$B$13,$B$12)*PI()*(I62/2)^2*4*F62^2*E62^2/386.4</f>
        <v/>
      </c>
      <c r="K62" s="755">
        <f>IF(A62&gt;=$B$14,$B$12*$B$13,$B$12)*4*F62^2*E62^2/(44600*386.4)</f>
        <v/>
      </c>
      <c r="L62" t="inlineStr">
        <is>
          <t>White</t>
        </is>
      </c>
    </row>
    <row r="63">
      <c r="A63" t="n">
        <v>5</v>
      </c>
      <c r="B63" t="inlineStr">
        <is>
          <t>G</t>
        </is>
      </c>
      <c r="C63" t="n">
        <v>5</v>
      </c>
      <c r="D63" t="n">
        <v>79</v>
      </c>
      <c r="E63" s="481">
        <f>440*2^((D63-69)/12)</f>
        <v/>
      </c>
      <c r="F63" s="565" t="n">
        <v>12</v>
      </c>
      <c r="G63" s="733" t="inlineStr">
        <is>
          <t>Right</t>
        </is>
      </c>
      <c r="H63">
        <f>IF(A63&gt;=$B$14,"Wound","Nylon")</f>
        <v/>
      </c>
      <c r="I63" s="648">
        <f>2*SQRT(($B$10+(A63-1)*($B$11-$B$10)/20)*386.4/(IF(A63&gt;=$B$14,$B$12*$B$13,$B$12)*PI()*4*F63^2*E63^2))</f>
        <v/>
      </c>
      <c r="J63" s="481">
        <f>IF(A63&gt;=$B$14,$B$12*$B$13,$B$12)*PI()*(I63/2)^2*4*F63^2*E63^2/386.4</f>
        <v/>
      </c>
      <c r="K63" s="755">
        <f>IF(A63&gt;=$B$14,$B$12*$B$13,$B$12)*4*F63^2*E63^2/(44600*386.4)</f>
        <v/>
      </c>
      <c r="L63" t="inlineStr">
        <is>
          <t>White</t>
        </is>
      </c>
    </row>
    <row r="64">
      <c r="A64" t="n">
        <v>6</v>
      </c>
      <c r="B64" t="inlineStr">
        <is>
          <t>F</t>
        </is>
      </c>
      <c r="C64" t="n">
        <v>5</v>
      </c>
      <c r="D64" t="n">
        <v>77</v>
      </c>
      <c r="E64" s="481">
        <f>440*2^((D64-69)/12)</f>
        <v/>
      </c>
      <c r="F64" s="565" t="n">
        <v>13</v>
      </c>
      <c r="G64" s="733" t="inlineStr">
        <is>
          <t>Left</t>
        </is>
      </c>
      <c r="H64">
        <f>IF(A64&gt;=$B$14,"Wound","Nylon")</f>
        <v/>
      </c>
      <c r="I64" s="648">
        <f>2*SQRT(($B$10+(A64-1)*($B$11-$B$10)/20)*386.4/(IF(A64&gt;=$B$14,$B$12*$B$13,$B$12)*PI()*4*F64^2*E64^2))</f>
        <v/>
      </c>
      <c r="J64" s="481">
        <f>IF(A64&gt;=$B$14,$B$12*$B$13,$B$12)*PI()*(I64/2)^2*4*F64^2*E64^2/386.4</f>
        <v/>
      </c>
      <c r="K64" s="702">
        <f>IF(A64&gt;=$B$14,$B$12*$B$13,$B$12)*4*F64^2*E64^2/(44600*386.4)</f>
        <v/>
      </c>
      <c r="L64" t="inlineStr">
        <is>
          <t>Blue</t>
        </is>
      </c>
    </row>
    <row r="65">
      <c r="A65" t="n">
        <v>7</v>
      </c>
      <c r="B65" t="inlineStr">
        <is>
          <t>E</t>
        </is>
      </c>
      <c r="C65" t="n">
        <v>5</v>
      </c>
      <c r="D65" t="n">
        <v>76</v>
      </c>
      <c r="E65" s="481">
        <f>440*2^((D65-69)/12)</f>
        <v/>
      </c>
      <c r="F65" s="565" t="n">
        <v>13.8</v>
      </c>
      <c r="G65" s="733" t="inlineStr">
        <is>
          <t>Right</t>
        </is>
      </c>
      <c r="H65">
        <f>IF(A65&gt;=$B$14,"Wound","Nylon")</f>
        <v/>
      </c>
      <c r="I65" s="648">
        <f>2*SQRT(($B$10+(A65-1)*($B$11-$B$10)/20)*386.4/(IF(A65&gt;=$B$14,$B$12*$B$13,$B$12)*PI()*4*F65^2*E65^2))</f>
        <v/>
      </c>
      <c r="J65" s="481">
        <f>IF(A65&gt;=$B$14,$B$12*$B$13,$B$12)*PI()*(I65/2)^2*4*F65^2*E65^2/386.4</f>
        <v/>
      </c>
      <c r="K65" s="702">
        <f>IF(A65&gt;=$B$14,$B$12*$B$13,$B$12)*4*F65^2*E65^2/(44600*386.4)</f>
        <v/>
      </c>
      <c r="L65" t="inlineStr">
        <is>
          <t>White</t>
        </is>
      </c>
    </row>
    <row r="66">
      <c r="A66" t="n">
        <v>8</v>
      </c>
      <c r="B66" t="inlineStr">
        <is>
          <t>D</t>
        </is>
      </c>
      <c r="C66" t="n">
        <v>5</v>
      </c>
      <c r="D66" t="n">
        <v>74</v>
      </c>
      <c r="E66" s="481">
        <f>440*2^((D66-69)/12)</f>
        <v/>
      </c>
      <c r="F66" s="565" t="n">
        <v>15</v>
      </c>
      <c r="G66" s="733" t="inlineStr">
        <is>
          <t>Left</t>
        </is>
      </c>
      <c r="H66">
        <f>IF(A66&gt;=$B$14,"Wound","Nylon")</f>
        <v/>
      </c>
      <c r="I66" s="648">
        <f>2*SQRT(($B$10+(A66-1)*($B$11-$B$10)/20)*386.4/(IF(A66&gt;=$B$14,$B$12*$B$13,$B$12)*PI()*4*F66^2*E66^2))</f>
        <v/>
      </c>
      <c r="J66" s="481">
        <f>IF(A66&gt;=$B$14,$B$12*$B$13,$B$12)*PI()*(I66/2)^2*4*F66^2*E66^2/386.4</f>
        <v/>
      </c>
      <c r="K66" s="702">
        <f>IF(A66&gt;=$B$14,$B$12*$B$13,$B$12)*4*F66^2*E66^2/(44600*386.4)</f>
        <v/>
      </c>
      <c r="L66" t="inlineStr">
        <is>
          <t>White</t>
        </is>
      </c>
    </row>
    <row r="67">
      <c r="A67" t="n">
        <v>9</v>
      </c>
      <c r="B67" t="inlineStr">
        <is>
          <t>C</t>
        </is>
      </c>
      <c r="C67" t="n">
        <v>5</v>
      </c>
      <c r="D67" t="n">
        <v>72</v>
      </c>
      <c r="E67" s="481">
        <f>440*2^((D67-69)/12)</f>
        <v/>
      </c>
      <c r="F67" s="565" t="n">
        <v>16.2</v>
      </c>
      <c r="G67" s="733" t="inlineStr">
        <is>
          <t>Right</t>
        </is>
      </c>
      <c r="H67">
        <f>IF(A67&gt;=$B$14,"Wound","Nylon")</f>
        <v/>
      </c>
      <c r="I67" s="648">
        <f>2*SQRT(($B$10+(A67-1)*($B$11-$B$10)/20)*386.4/(IF(A67&gt;=$B$14,$B$12*$B$13,$B$12)*PI()*4*F67^2*E67^2))</f>
        <v/>
      </c>
      <c r="J67" s="481">
        <f>IF(A67&gt;=$B$14,$B$12*$B$13,$B$12)*PI()*(I67/2)^2*4*F67^2*E67^2/386.4</f>
        <v/>
      </c>
      <c r="K67" s="702">
        <f>IF(A67&gt;=$B$14,$B$12*$B$13,$B$12)*4*F67^2*E67^2/(44600*386.4)</f>
        <v/>
      </c>
      <c r="L67" t="inlineStr">
        <is>
          <t>Red</t>
        </is>
      </c>
    </row>
    <row r="68">
      <c r="A68" t="n">
        <v>10</v>
      </c>
      <c r="B68" t="inlineStr">
        <is>
          <t>Bb</t>
        </is>
      </c>
      <c r="C68" t="n">
        <v>4</v>
      </c>
      <c r="D68" t="n">
        <v>70</v>
      </c>
      <c r="E68" s="481">
        <f>440*2^((D68-69)/12)</f>
        <v/>
      </c>
      <c r="F68" s="565" t="n">
        <v>17.5</v>
      </c>
      <c r="G68" s="733" t="inlineStr">
        <is>
          <t>Left</t>
        </is>
      </c>
      <c r="H68">
        <f>IF(A68&gt;=$B$14,"Wound","Nylon")</f>
        <v/>
      </c>
      <c r="I68" s="648">
        <f>2*SQRT(($B$10+(A68-1)*($B$11-$B$10)/20)*386.4/(IF(A68&gt;=$B$14,$B$12*$B$13,$B$12)*PI()*4*F68^2*E68^2))</f>
        <v/>
      </c>
      <c r="J68" s="481">
        <f>IF(A68&gt;=$B$14,$B$12*$B$13,$B$12)*PI()*(I68/2)^2*4*F68^2*E68^2/386.4</f>
        <v/>
      </c>
      <c r="K68" s="702">
        <f>IF(A68&gt;=$B$14,$B$12*$B$13,$B$12)*4*F68^2*E68^2/(44600*386.4)</f>
        <v/>
      </c>
      <c r="L68" t="inlineStr">
        <is>
          <t>White</t>
        </is>
      </c>
    </row>
    <row r="69">
      <c r="A69" t="n">
        <v>11</v>
      </c>
      <c r="B69" t="inlineStr">
        <is>
          <t>A</t>
        </is>
      </c>
      <c r="C69" t="n">
        <v>4</v>
      </c>
      <c r="D69" t="n">
        <v>69</v>
      </c>
      <c r="E69" s="481">
        <f>440*2^((D69-69)/12)</f>
        <v/>
      </c>
      <c r="F69" s="565" t="n">
        <v>18.5</v>
      </c>
      <c r="G69" s="733" t="inlineStr">
        <is>
          <t>Right</t>
        </is>
      </c>
      <c r="H69">
        <f>IF(A69&gt;=$B$14,"Wound","Nylon")</f>
        <v/>
      </c>
      <c r="I69" s="648">
        <f>2*SQRT(($B$10+(A69-1)*($B$11-$B$10)/20)*386.4/(IF(A69&gt;=$B$14,$B$12*$B$13,$B$12)*PI()*4*F69^2*E69^2))</f>
        <v/>
      </c>
      <c r="J69" s="481">
        <f>IF(A69&gt;=$B$14,$B$12*$B$13,$B$12)*PI()*(I69/2)^2*4*F69^2*E69^2/386.4</f>
        <v/>
      </c>
      <c r="K69" s="702">
        <f>IF(A69&gt;=$B$14,$B$12*$B$13,$B$12)*4*F69^2*E69^2/(44600*386.4)</f>
        <v/>
      </c>
      <c r="L69" t="inlineStr">
        <is>
          <t>White</t>
        </is>
      </c>
    </row>
    <row r="70">
      <c r="A70" t="n">
        <v>12</v>
      </c>
      <c r="B70" t="inlineStr">
        <is>
          <t>G</t>
        </is>
      </c>
      <c r="C70" t="n">
        <v>4</v>
      </c>
      <c r="D70" t="n">
        <v>67</v>
      </c>
      <c r="E70" s="481">
        <f>440*2^((D70-69)/12)</f>
        <v/>
      </c>
      <c r="F70" s="565" t="n">
        <v>19.8</v>
      </c>
      <c r="G70" s="733" t="inlineStr">
        <is>
          <t>Left</t>
        </is>
      </c>
      <c r="H70">
        <f>IF(A70&gt;=$B$14,"Wound","Nylon")</f>
        <v/>
      </c>
      <c r="I70" s="648">
        <f>2*SQRT(($B$10+(A70-1)*($B$11-$B$10)/20)*386.4/(IF(A70&gt;=$B$14,$B$12*$B$13,$B$12)*PI()*4*F70^2*E70^2))</f>
        <v/>
      </c>
      <c r="J70" s="481">
        <f>IF(A70&gt;=$B$14,$B$12*$B$13,$B$12)*PI()*(I70/2)^2*4*F70^2*E70^2/386.4</f>
        <v/>
      </c>
      <c r="K70" s="702">
        <f>IF(A70&gt;=$B$14,$B$12*$B$13,$B$12)*4*F70^2*E70^2/(44600*386.4)</f>
        <v/>
      </c>
      <c r="L70" t="inlineStr">
        <is>
          <t>White</t>
        </is>
      </c>
    </row>
    <row r="71">
      <c r="A71" t="n">
        <v>13</v>
      </c>
      <c r="B71" t="inlineStr">
        <is>
          <t>F</t>
        </is>
      </c>
      <c r="C71" t="n">
        <v>4</v>
      </c>
      <c r="D71" t="n">
        <v>65</v>
      </c>
      <c r="E71" s="481">
        <f>440*2^((D71-69)/12)</f>
        <v/>
      </c>
      <c r="F71" s="565" t="n">
        <v>21.2</v>
      </c>
      <c r="G71" s="733" t="inlineStr">
        <is>
          <t>Right</t>
        </is>
      </c>
      <c r="H71">
        <f>IF(A71&gt;=$B$14,"Wound","Nylon")</f>
        <v/>
      </c>
      <c r="I71" s="648">
        <f>2*SQRT(($B$10+(A71-1)*($B$11-$B$10)/20)*386.4/(IF(A71&gt;=$B$14,$B$12*$B$13,$B$12)*PI()*4*F71^2*E71^2))</f>
        <v/>
      </c>
      <c r="J71" s="481">
        <f>IF(A71&gt;=$B$14,$B$12*$B$13,$B$12)*PI()*(I71/2)^2*4*F71^2*E71^2/386.4</f>
        <v/>
      </c>
      <c r="K71" s="702">
        <f>IF(A71&gt;=$B$14,$B$12*$B$13,$B$12)*4*F71^2*E71^2/(44600*386.4)</f>
        <v/>
      </c>
      <c r="L71" t="inlineStr">
        <is>
          <t>Blue</t>
        </is>
      </c>
    </row>
    <row r="72">
      <c r="A72" t="n">
        <v>14</v>
      </c>
      <c r="B72" t="inlineStr">
        <is>
          <t>E</t>
        </is>
      </c>
      <c r="C72" t="n">
        <v>4</v>
      </c>
      <c r="D72" t="n">
        <v>64</v>
      </c>
      <c r="E72" s="481">
        <f>440*2^((D72-69)/12)</f>
        <v/>
      </c>
      <c r="F72" s="565" t="n">
        <v>22.5</v>
      </c>
      <c r="G72" s="733" t="inlineStr">
        <is>
          <t>Left</t>
        </is>
      </c>
      <c r="H72">
        <f>IF(A72&gt;=$B$14,"Wound","Nylon")</f>
        <v/>
      </c>
      <c r="I72" s="648">
        <f>2*SQRT(($B$10+(A72-1)*($B$11-$B$10)/20)*386.4/(IF(A72&gt;=$B$14,$B$12*$B$13,$B$12)*PI()*4*F72^2*E72^2))</f>
        <v/>
      </c>
      <c r="J72" s="481">
        <f>IF(A72&gt;=$B$14,$B$12*$B$13,$B$12)*PI()*(I72/2)^2*4*F72^2*E72^2/386.4</f>
        <v/>
      </c>
      <c r="K72" s="702">
        <f>IF(A72&gt;=$B$14,$B$12*$B$13,$B$12)*4*F72^2*E72^2/(44600*386.4)</f>
        <v/>
      </c>
      <c r="L72" t="inlineStr">
        <is>
          <t>White</t>
        </is>
      </c>
    </row>
    <row r="73">
      <c r="A73" t="n">
        <v>15</v>
      </c>
      <c r="B73" t="inlineStr">
        <is>
          <t>D</t>
        </is>
      </c>
      <c r="C73" t="n">
        <v>4</v>
      </c>
      <c r="D73" t="n">
        <v>62</v>
      </c>
      <c r="E73" s="481">
        <f>440*2^((D73-69)/12)</f>
        <v/>
      </c>
      <c r="F73" s="565" t="n">
        <v>24</v>
      </c>
      <c r="G73" s="733" t="inlineStr">
        <is>
          <t>Right</t>
        </is>
      </c>
      <c r="H73">
        <f>IF(A73&gt;=$B$14,"Wound","Nylon")</f>
        <v/>
      </c>
      <c r="I73" s="648">
        <f>2*SQRT(($B$10+(A73-1)*($B$11-$B$10)/20)*386.4/(IF(A73&gt;=$B$14,$B$12*$B$13,$B$12)*PI()*4*F73^2*E73^2))</f>
        <v/>
      </c>
      <c r="J73" s="481">
        <f>IF(A73&gt;=$B$14,$B$12*$B$13,$B$12)*PI()*(I73/2)^2*4*F73^2*E73^2/386.4</f>
        <v/>
      </c>
      <c r="K73" s="702">
        <f>IF(A73&gt;=$B$14,$B$12*$B$13,$B$12)*4*F73^2*E73^2/(44600*386.4)</f>
        <v/>
      </c>
      <c r="L73" t="inlineStr">
        <is>
          <t>White</t>
        </is>
      </c>
    </row>
    <row r="74">
      <c r="A74" t="n">
        <v>16</v>
      </c>
      <c r="B74" t="inlineStr">
        <is>
          <t>C</t>
        </is>
      </c>
      <c r="C74" t="n">
        <v>4</v>
      </c>
      <c r="D74" t="n">
        <v>60</v>
      </c>
      <c r="E74" s="481">
        <f>440*2^((D74-69)/12)</f>
        <v/>
      </c>
      <c r="F74" s="565" t="n">
        <v>25.5</v>
      </c>
      <c r="G74" s="733" t="inlineStr">
        <is>
          <t>Left</t>
        </is>
      </c>
      <c r="H74">
        <f>IF(A74&gt;=$B$14,"Wound","Nylon")</f>
        <v/>
      </c>
      <c r="I74" s="648">
        <f>2*SQRT(($B$10+(A74-1)*($B$11-$B$10)/20)*386.4/(IF(A74&gt;=$B$14,$B$12*$B$13,$B$12)*PI()*4*F74^2*E74^2))</f>
        <v/>
      </c>
      <c r="J74" s="481">
        <f>IF(A74&gt;=$B$14,$B$12*$B$13,$B$12)*PI()*(I74/2)^2*4*F74^2*E74^2/386.4</f>
        <v/>
      </c>
      <c r="K74" s="702">
        <f>IF(A74&gt;=$B$14,$B$12*$B$13,$B$12)*4*F74^2*E74^2/(44600*386.4)</f>
        <v/>
      </c>
      <c r="L74" t="inlineStr">
        <is>
          <t>Red</t>
        </is>
      </c>
    </row>
    <row r="75">
      <c r="A75" t="n">
        <v>17</v>
      </c>
      <c r="B75" t="inlineStr">
        <is>
          <t>Bb</t>
        </is>
      </c>
      <c r="C75" t="n">
        <v>3</v>
      </c>
      <c r="D75" t="n">
        <v>58</v>
      </c>
      <c r="E75" s="481">
        <f>440*2^((D75-69)/12)</f>
        <v/>
      </c>
      <c r="F75" s="565" t="n">
        <v>27</v>
      </c>
      <c r="G75" s="733" t="inlineStr">
        <is>
          <t>Right</t>
        </is>
      </c>
      <c r="H75">
        <f>IF(A75&gt;=$B$14,"Wound","Nylon")</f>
        <v/>
      </c>
      <c r="I75" s="648">
        <f>2*SQRT(($B$10+(A75-1)*($B$11-$B$10)/20)*386.4/(IF(A75&gt;=$B$14,$B$12*$B$13,$B$12)*PI()*4*F75^2*E75^2))</f>
        <v/>
      </c>
      <c r="J75" s="481">
        <f>IF(A75&gt;=$B$14,$B$12*$B$13,$B$12)*PI()*(I75/2)^2*4*F75^2*E75^2/386.4</f>
        <v/>
      </c>
      <c r="K75" s="702">
        <f>IF(A75&gt;=$B$14,$B$12*$B$13,$B$12)*4*F75^2*E75^2/(44600*386.4)</f>
        <v/>
      </c>
      <c r="L75" t="inlineStr">
        <is>
          <t>White</t>
        </is>
      </c>
    </row>
    <row r="76">
      <c r="A76" t="n">
        <v>18</v>
      </c>
      <c r="B76" t="inlineStr">
        <is>
          <t>A</t>
        </is>
      </c>
      <c r="C76" t="n">
        <v>3</v>
      </c>
      <c r="D76" t="n">
        <v>57</v>
      </c>
      <c r="E76" s="481">
        <f>440*2^((D76-69)/12)</f>
        <v/>
      </c>
      <c r="F76" s="565" t="n">
        <v>28.2</v>
      </c>
      <c r="G76" s="733" t="inlineStr">
        <is>
          <t>Left</t>
        </is>
      </c>
      <c r="H76">
        <f>IF(A76&gt;=$B$14,"Wound","Nylon")</f>
        <v/>
      </c>
      <c r="I76" s="648">
        <f>2*SQRT(($B$10+(A76-1)*($B$11-$B$10)/20)*386.4/(IF(A76&gt;=$B$14,$B$12*$B$13,$B$12)*PI()*4*F76^2*E76^2))</f>
        <v/>
      </c>
      <c r="J76" s="481">
        <f>IF(A76&gt;=$B$14,$B$12*$B$13,$B$12)*PI()*(I76/2)^2*4*F76^2*E76^2/386.4</f>
        <v/>
      </c>
      <c r="K76" s="755">
        <f>IF(A76&gt;=$B$14,$B$12*$B$13,$B$12)*4*F76^2*E76^2/(44600*386.4)</f>
        <v/>
      </c>
      <c r="L76" t="inlineStr">
        <is>
          <t>White</t>
        </is>
      </c>
    </row>
    <row r="77">
      <c r="A77" t="n">
        <v>19</v>
      </c>
      <c r="B77" t="inlineStr">
        <is>
          <t>G</t>
        </is>
      </c>
      <c r="C77" t="n">
        <v>3</v>
      </c>
      <c r="D77" t="n">
        <v>55</v>
      </c>
      <c r="E77" s="481">
        <f>440*2^((D77-69)/12)</f>
        <v/>
      </c>
      <c r="F77" s="565" t="n">
        <v>29.5</v>
      </c>
      <c r="G77" s="733" t="inlineStr">
        <is>
          <t>Right</t>
        </is>
      </c>
      <c r="H77">
        <f>IF(A77&gt;=$B$14,"Wound","Nylon")</f>
        <v/>
      </c>
      <c r="I77" s="648">
        <f>2*SQRT(($B$10+(A77-1)*($B$11-$B$10)/20)*386.4/(IF(A77&gt;=$B$14,$B$12*$B$13,$B$12)*PI()*4*F77^2*E77^2))</f>
        <v/>
      </c>
      <c r="J77" s="481">
        <f>IF(A77&gt;=$B$14,$B$12*$B$13,$B$12)*PI()*(I77/2)^2*4*F77^2*E77^2/386.4</f>
        <v/>
      </c>
      <c r="K77" s="702">
        <f>IF(A77&gt;=$B$14,$B$12*$B$13,$B$12)*4*F77^2*E77^2/(44600*386.4)</f>
        <v/>
      </c>
      <c r="L77" t="inlineStr">
        <is>
          <t>White</t>
        </is>
      </c>
    </row>
    <row r="78">
      <c r="A78" t="n">
        <v>20</v>
      </c>
      <c r="B78" t="inlineStr">
        <is>
          <t>F</t>
        </is>
      </c>
      <c r="C78" t="n">
        <v>3</v>
      </c>
      <c r="D78" t="n">
        <v>53</v>
      </c>
      <c r="E78" s="481">
        <f>440*2^((D78-69)/12)</f>
        <v/>
      </c>
      <c r="F78" s="565" t="n">
        <v>30.5</v>
      </c>
      <c r="G78" s="733" t="inlineStr">
        <is>
          <t>Left</t>
        </is>
      </c>
      <c r="H78">
        <f>IF(A78&gt;=$B$14,"Wound","Nylon")</f>
        <v/>
      </c>
      <c r="I78" s="648">
        <f>2*SQRT(($B$10+(A78-1)*($B$11-$B$10)/20)*386.4/(IF(A78&gt;=$B$14,$B$12*$B$13,$B$12)*PI()*4*F78^2*E78^2))</f>
        <v/>
      </c>
      <c r="J78" s="481">
        <f>IF(A78&gt;=$B$14,$B$12*$B$13,$B$12)*PI()*(I78/2)^2*4*F78^2*E78^2/386.4</f>
        <v/>
      </c>
      <c r="K78" s="702">
        <f>IF(A78&gt;=$B$14,$B$12*$B$13,$B$12)*4*F78^2*E78^2/(44600*386.4)</f>
        <v/>
      </c>
      <c r="L78" t="inlineStr">
        <is>
          <t>Blue</t>
        </is>
      </c>
    </row>
    <row r="79">
      <c r="A79" t="n">
        <v>21</v>
      </c>
      <c r="B79" t="inlineStr">
        <is>
          <t>F</t>
        </is>
      </c>
      <c r="C79" t="n">
        <v>3</v>
      </c>
      <c r="D79" t="n">
        <v>53</v>
      </c>
      <c r="E79" s="481">
        <f>440*2^((D79-69)/12)</f>
        <v/>
      </c>
      <c r="F79" s="565" t="n">
        <v>31.1</v>
      </c>
      <c r="G79" s="733" t="inlineStr">
        <is>
          <t>Right</t>
        </is>
      </c>
      <c r="H79">
        <f>IF(A79&gt;=$B$14,"Wound","Nylon")</f>
        <v/>
      </c>
      <c r="I79" s="648">
        <f>2*SQRT(($B$10+(A79-1)*($B$11-$B$10)/20)*386.4/(IF(A79&gt;=$B$14,$B$12*$B$13,$B$12)*PI()*4*F79^2*E79^2))</f>
        <v/>
      </c>
      <c r="J79" s="481">
        <f>IF(A79&gt;=$B$14,$B$12*$B$13,$B$12)*PI()*(I79/2)^2*4*F79^2*E79^2/386.4</f>
        <v/>
      </c>
      <c r="K79" s="702">
        <f>IF(A79&gt;=$B$14,$B$12*$B$13,$B$12)*4*F79^2*E79^2/(44600*386.4)</f>
        <v/>
      </c>
      <c r="L79" t="inlineStr">
        <is>
          <t>Blue</t>
        </is>
      </c>
    </row>
    <row r="81" ht="15" customHeight="1" s="817">
      <c r="A81" s="745" t="inlineStr">
        <is>
          <t>BRIDGE &amp; SOUND TRANSMISSION</t>
        </is>
      </c>
      <c r="B81" s="746" t="n"/>
      <c r="C81" s="746" t="n"/>
      <c r="D81" s="746" t="n"/>
      <c r="E81" s="746" t="n"/>
      <c r="F81" s="746" t="n"/>
    </row>
    <row r="82">
      <c r="A82" t="inlineStr">
        <is>
          <t>Bridge Type</t>
        </is>
      </c>
      <c r="B82" s="564" t="inlineStr">
        <is>
          <t>Notched free-standing</t>
        </is>
      </c>
      <c r="C82" t="inlineStr">
        <is>
          <t>← Sits on skin under string tension; not glued</t>
        </is>
      </c>
    </row>
    <row r="83">
      <c r="A83" t="inlineStr">
        <is>
          <t>Bridge Height (in)</t>
        </is>
      </c>
      <c r="B83" s="565" t="n">
        <v>2.5</v>
      </c>
      <c r="C83" t="inlineStr">
        <is>
          <t>← Taller = more leverage on skin, louder but less sustain</t>
        </is>
      </c>
    </row>
    <row r="84">
      <c r="A84" t="inlineStr">
        <is>
          <t>Bridge Width (in)</t>
        </is>
      </c>
      <c r="B84" s="565" t="n">
        <v>6</v>
      </c>
      <c r="C84" t="inlineStr">
        <is>
          <t>← Must span both string ranks</t>
        </is>
      </c>
    </row>
    <row r="85">
      <c r="A85" t="inlineStr">
        <is>
          <t>Bridge Thickness (in)</t>
        </is>
      </c>
      <c r="B85" s="596" t="n">
        <v>0.75</v>
      </c>
    </row>
    <row r="86">
      <c r="A86" t="inlineStr">
        <is>
          <t>Bridge Material</t>
        </is>
      </c>
      <c r="B86" s="564" t="inlineStr">
        <is>
          <t>Hard Maple or Rosewood</t>
        </is>
      </c>
      <c r="C86" t="inlineStr">
        <is>
          <t>← Dense hardwood for efficient energy transfer</t>
        </is>
      </c>
    </row>
    <row r="87">
      <c r="A87" t="inlineStr">
        <is>
          <t>Notch Depth (in)</t>
        </is>
      </c>
      <c r="B87" s="596" t="n">
        <v>0.125</v>
      </c>
      <c r="C87" t="inlineStr">
        <is>
          <t>← 1/8″ deep V-notch per string</t>
        </is>
      </c>
    </row>
    <row r="88">
      <c r="A88" t="inlineStr">
        <is>
          <t>Notch Spacing (in)</t>
        </is>
      </c>
      <c r="B88" s="482">
        <f>B84/(21+1)</f>
        <v/>
      </c>
      <c r="C88" t="inlineStr">
        <is>
          <t>← Even spacing across bridge width</t>
        </is>
      </c>
    </row>
    <row r="89">
      <c r="A89" t="inlineStr">
        <is>
          <t>String Ranks</t>
        </is>
      </c>
      <c r="B89" t="inlineStr">
        <is>
          <t>2 (11 right + 10 left, separated by neck)</t>
        </is>
      </c>
    </row>
    <row r="90">
      <c r="A90" t="inlineStr">
        <is>
          <t>Sound Transmission</t>
        </is>
      </c>
      <c r="B90" t="inlineStr">
        <is>
          <t>String → Bridge → Goatskin head → Bowl cavity (Helmholtz-like amplification)</t>
        </is>
      </c>
    </row>
    <row r="92" ht="15" customHeight="1" s="817">
      <c r="A92" s="747" t="inlineStr">
        <is>
          <t>ELECTRIC OPTION — Piezo Pickup</t>
        </is>
      </c>
      <c r="B92" s="748" t="n"/>
      <c r="C92" s="748" t="n"/>
      <c r="D92" s="748" t="n"/>
      <c r="E92" s="748" t="n"/>
      <c r="F92" s="748" t="n"/>
    </row>
    <row r="93">
      <c r="A93" t="inlineStr">
        <is>
          <t>Pickup Type</t>
        </is>
      </c>
      <c r="B93" s="564" t="inlineStr">
        <is>
          <t>Under-bridge piezo disc</t>
        </is>
      </c>
    </row>
    <row r="94">
      <c r="A94" t="inlineStr">
        <is>
          <t>Pickup Size</t>
        </is>
      </c>
      <c r="B94" s="564" t="inlineStr">
        <is>
          <t>27mm or 35mm piezo disc</t>
        </is>
      </c>
      <c r="C94" t="inlineStr">
        <is>
          <t>← Sandwiched between bridge foot and skin</t>
        </is>
      </c>
    </row>
    <row r="95">
      <c r="A95" t="inlineStr">
        <is>
          <t>Preamp</t>
        </is>
      </c>
      <c r="B95" s="564" t="inlineStr">
        <is>
          <t>Active preamp with EQ (battery-powered)</t>
        </is>
      </c>
    </row>
    <row r="96">
      <c r="A96" t="inlineStr">
        <is>
          <t>Output</t>
        </is>
      </c>
      <c r="B96" s="564" t="inlineStr">
        <is>
          <t>1/4" mono jack mounted on bowl rim</t>
        </is>
      </c>
    </row>
    <row r="97">
      <c r="A97" t="inlineStr">
        <is>
          <t>Wiring Path</t>
        </is>
      </c>
      <c r="B97" s="564" t="inlineStr">
        <is>
          <t>Piezo → preamp (inside bowl) → jack on rim</t>
        </is>
      </c>
    </row>
    <row r="98">
      <c r="A98" t="inlineStr">
        <is>
          <t>Notes</t>
        </is>
      </c>
      <c r="B98" s="564" t="inlineStr">
        <is>
          <t>Piezo captures bridge vibrations directly; preamp buffers high-impedance signal. Can blend with external mic for live/studio.</t>
        </is>
      </c>
    </row>
    <row r="100" ht="15" customHeight="1" s="817">
      <c r="A100" s="749" t="inlineStr">
        <is>
          <t>BILL OF MATERIALS</t>
        </is>
      </c>
      <c r="B100" s="750" t="n"/>
      <c r="C100" s="750" t="n"/>
      <c r="D100" s="750" t="n"/>
      <c r="E100" s="750" t="n"/>
      <c r="F100" s="750" t="n"/>
      <c r="G100" s="750" t="n"/>
      <c r="H100" s="750" t="n"/>
    </row>
    <row r="101">
      <c r="A101" s="475" t="inlineStr">
        <is>
          <t>#</t>
        </is>
      </c>
      <c r="B101" s="478" t="inlineStr">
        <is>
          <t>Category</t>
        </is>
      </c>
      <c r="C101" s="475" t="inlineStr">
        <is>
          <t>Item</t>
        </is>
      </c>
      <c r="D101" s="475" t="inlineStr">
        <is>
          <t>Qty</t>
        </is>
      </c>
      <c r="E101" s="475" t="inlineStr">
        <is>
          <t>Dimensions / Spec</t>
        </is>
      </c>
      <c r="F101" s="475" t="inlineStr">
        <is>
          <t>Material</t>
        </is>
      </c>
      <c r="G101" s="475" t="inlineStr">
        <is>
          <t>Supplier / Notes</t>
        </is>
      </c>
      <c r="H101" s="475" t="inlineStr">
        <is>
          <t>Est. Cost</t>
        </is>
      </c>
    </row>
    <row r="102">
      <c r="A102" t="n">
        <v>1</v>
      </c>
      <c r="B102" t="inlineStr">
        <is>
          <t>Bowl</t>
        </is>
      </c>
      <c r="C102" t="inlineStr">
        <is>
          <t>Segment blanks (Option A)</t>
        </is>
      </c>
      <c r="D102">
        <f>B24</f>
        <v/>
      </c>
      <c r="E102" t="inlineStr">
        <is>
          <t>Per cut list above</t>
        </is>
      </c>
      <c r="F102" t="inlineStr">
        <is>
          <t>Walnut / Maple / Cherry</t>
        </is>
      </c>
      <c r="G102" t="inlineStr">
        <is>
          <t>~6 bd ft total</t>
        </is>
      </c>
    </row>
    <row r="103">
      <c r="A103" t="n">
        <v>2</v>
      </c>
      <c r="B103" t="inlineStr">
        <is>
          <t>Bowl</t>
        </is>
      </c>
      <c r="C103" t="inlineStr">
        <is>
          <t>Stave blanks (Option B)</t>
        </is>
      </c>
      <c r="D103">
        <f>B45</f>
        <v/>
      </c>
      <c r="E103" s="330" t="inlineStr">
        <is>
          <t>10.8" × 4.0" × 0.500"</t>
        </is>
      </c>
      <c r="F103" t="inlineStr">
        <is>
          <t>Black Walnut</t>
        </is>
      </c>
      <c r="G103" t="inlineStr">
        <is>
          <t>~4 bd ft total</t>
        </is>
      </c>
    </row>
    <row r="104">
      <c r="A104" t="n">
        <v>3</v>
      </c>
      <c r="B104" t="inlineStr">
        <is>
          <t>Neck</t>
        </is>
      </c>
      <c r="C104" t="inlineStr">
        <is>
          <t>Neck blank</t>
        </is>
      </c>
      <c r="D104" t="n">
        <v>1</v>
      </c>
      <c r="E104" t="inlineStr">
        <is>
          <t>51" × 2" × 3/4" (or laminated)</t>
        </is>
      </c>
      <c r="F104" t="inlineStr">
        <is>
          <t>Hard Maple or Mahogany</t>
        </is>
      </c>
      <c r="G104" t="inlineStr">
        <is>
          <t>Straight grain essential; can laminate 2 pcs</t>
        </is>
      </c>
    </row>
    <row r="105">
      <c r="A105" t="n">
        <v>4</v>
      </c>
      <c r="B105" t="inlineStr">
        <is>
          <t>Head</t>
        </is>
      </c>
      <c r="C105" t="inlineStr">
        <is>
          <t>Goatskin</t>
        </is>
      </c>
      <c r="D105" t="n">
        <v>1</v>
      </c>
      <c r="E105" t="inlineStr">
        <is>
          <t>24"+ diameter, untrimmed</t>
        </is>
      </c>
      <c r="F105" t="inlineStr">
        <is>
          <t>Rawhide goatskin</t>
        </is>
      </c>
      <c r="G105" t="inlineStr">
        <is>
          <t>Soak 12-24h before stretching</t>
        </is>
      </c>
    </row>
    <row r="106">
      <c r="A106" t="n">
        <v>5</v>
      </c>
      <c r="B106" t="inlineStr">
        <is>
          <t>Bridge</t>
        </is>
      </c>
      <c r="C106" t="inlineStr">
        <is>
          <t>Bridge blank</t>
        </is>
      </c>
      <c r="D106" t="n">
        <v>1</v>
      </c>
      <c r="E106" t="inlineStr">
        <is>
          <t>6" × 2.5" × 3/4"</t>
        </is>
      </c>
      <c r="F106" t="inlineStr">
        <is>
          <t>Hard Maple or Rosewood</t>
        </is>
      </c>
      <c r="G106" t="inlineStr">
        <is>
          <t>CNC notch routing or hand-file</t>
        </is>
      </c>
    </row>
    <row r="107">
      <c r="A107" t="n">
        <v>6</v>
      </c>
      <c r="B107" t="inlineStr">
        <is>
          <t>Strings</t>
        </is>
      </c>
      <c r="C107" t="inlineStr">
        <is>
          <t>Nylon monofilament (treble)</t>
        </is>
      </c>
      <c r="D107" t="n">
        <v>17</v>
      </c>
      <c r="E107" t="inlineStr">
        <is>
          <t>Gauges per string schedule</t>
        </is>
      </c>
      <c r="F107" t="inlineStr">
        <is>
          <t>Nylon</t>
        </is>
      </c>
      <c r="G107" t="inlineStr">
        <is>
          <t>Harp/classical guitar string stock</t>
        </is>
      </c>
    </row>
    <row r="108">
      <c r="A108" t="n">
        <v>7</v>
      </c>
      <c r="B108" t="inlineStr">
        <is>
          <t>Strings</t>
        </is>
      </c>
      <c r="C108" t="inlineStr">
        <is>
          <t>Wound nylon (bass)</t>
        </is>
      </c>
      <c r="D108" t="n">
        <v>4</v>
      </c>
      <c r="E108" t="inlineStr">
        <is>
          <t>Gauges per string schedule</t>
        </is>
      </c>
      <c r="F108" t="inlineStr">
        <is>
          <t>Nylon core + wire wrap</t>
        </is>
      </c>
      <c r="G108" t="inlineStr">
        <is>
          <t>Custom gauge or classical guitar bass set</t>
        </is>
      </c>
    </row>
    <row r="109">
      <c r="A109" t="n">
        <v>8</v>
      </c>
      <c r="B109" t="inlineStr">
        <is>
          <t>Hardware</t>
        </is>
      </c>
      <c r="C109" t="inlineStr">
        <is>
          <t>Tuning rings (konso)</t>
        </is>
      </c>
      <c r="D109" t="n">
        <v>21</v>
      </c>
      <c r="E109" t="inlineStr">
        <is>
          <t>Braided leather rings on neck</t>
        </is>
      </c>
      <c r="F109" t="inlineStr">
        <is>
          <t>Rawhide or leather cord</t>
        </is>
      </c>
      <c r="G109" t="inlineStr">
        <is>
          <t>Traditional tuning method; slide ring up/down neck</t>
        </is>
      </c>
    </row>
    <row r="110">
      <c r="A110" t="n">
        <v>9</v>
      </c>
      <c r="B110" t="inlineStr">
        <is>
          <t>Hardware</t>
        </is>
      </c>
      <c r="C110" t="inlineStr">
        <is>
          <t>Machine tuners (modern option)</t>
        </is>
      </c>
      <c r="D110" t="n">
        <v>21</v>
      </c>
      <c r="E110" t="inlineStr">
        <is>
          <t>Zither or harp pins</t>
        </is>
      </c>
      <c r="F110" t="inlineStr">
        <is>
          <t>Steel</t>
        </is>
      </c>
      <c r="G110" t="inlineStr">
        <is>
          <t>Alternative to traditional konso rings</t>
        </is>
      </c>
    </row>
    <row r="111">
      <c r="A111" t="n">
        <v>10</v>
      </c>
      <c r="B111" t="inlineStr">
        <is>
          <t>Hardware</t>
        </is>
      </c>
      <c r="C111" t="inlineStr">
        <is>
          <t>Tail piece / string anchor</t>
        </is>
      </c>
      <c r="D111" t="n">
        <v>1</v>
      </c>
      <c r="E111" t="inlineStr">
        <is>
          <t>Steel rod or hardwood bar at bowl base</t>
        </is>
      </c>
      <c r="F111" t="inlineStr">
        <is>
          <t>Steel or Hardwood</t>
        </is>
      </c>
      <c r="G111" t="inlineStr">
        <is>
          <t>Strings attach here, run over bridge to neck</t>
        </is>
      </c>
    </row>
    <row r="112">
      <c r="A112" t="n">
        <v>11</v>
      </c>
      <c r="B112" t="inlineStr">
        <is>
          <t>Hardware</t>
        </is>
      </c>
      <c r="C112" t="inlineStr">
        <is>
          <t>Tacking nails / rings for skin</t>
        </is>
      </c>
      <c r="D112" t="n">
        <v>24</v>
      </c>
      <c r="E112" t="inlineStr">
        <is>
          <t>Upholstery tacks or cord lacing</t>
        </is>
      </c>
      <c r="F112" t="inlineStr">
        <is>
          <t>Steel / Nylon cord</t>
        </is>
      </c>
      <c r="G112" t="inlineStr">
        <is>
          <t>Secure goatskin around bowl rim</t>
        </is>
      </c>
    </row>
    <row r="113">
      <c r="A113" t="n">
        <v>12</v>
      </c>
      <c r="B113" t="inlineStr">
        <is>
          <t>Electric</t>
        </is>
      </c>
      <c r="C113" t="inlineStr">
        <is>
          <t>Piezo disc</t>
        </is>
      </c>
      <c r="D113" t="n">
        <v>1</v>
      </c>
      <c r="E113" t="inlineStr">
        <is>
          <t>27mm or 35mm</t>
        </is>
      </c>
      <c r="F113" t="inlineStr">
        <is>
          <t>Piezoelectric ceramic</t>
        </is>
      </c>
      <c r="G113" t="inlineStr">
        <is>
          <t>Under-bridge placement</t>
        </is>
      </c>
    </row>
    <row r="114">
      <c r="A114" t="n">
        <v>13</v>
      </c>
      <c r="B114" t="inlineStr">
        <is>
          <t>Electric</t>
        </is>
      </c>
      <c r="C114" t="inlineStr">
        <is>
          <t>Preamp + battery</t>
        </is>
      </c>
      <c r="D114" t="n">
        <v>1</v>
      </c>
      <c r="E114" t="inlineStr">
        <is>
          <t>Active preamp board + 9V</t>
        </is>
      </c>
      <c r="F114" t="inlineStr">
        <is>
          <t>PCB</t>
        </is>
      </c>
      <c r="G114" t="inlineStr">
        <is>
          <t>Mounts inside bowl</t>
        </is>
      </c>
    </row>
    <row r="115">
      <c r="A115" t="n">
        <v>14</v>
      </c>
      <c r="B115" t="inlineStr">
        <is>
          <t>Electric</t>
        </is>
      </c>
      <c r="C115" t="inlineStr">
        <is>
          <t>1/4" output jack</t>
        </is>
      </c>
      <c r="D115" t="n">
        <v>1</v>
      </c>
      <c r="E115" t="inlineStr">
        <is>
          <t>Mono, panel-mount</t>
        </is>
      </c>
      <c r="F115" t="inlineStr">
        <is>
          <t>Chrome/Nickel</t>
        </is>
      </c>
      <c r="G115" t="inlineStr">
        <is>
          <t>Drill and mount on bowl rim</t>
        </is>
      </c>
    </row>
    <row r="116">
      <c r="A116" t="n">
        <v>15</v>
      </c>
      <c r="B116" t="inlineStr">
        <is>
          <t>Consumables</t>
        </is>
      </c>
      <c r="C116" t="inlineStr">
        <is>
          <t>Wood glue</t>
        </is>
      </c>
      <c r="D116" t="n">
        <v>1</v>
      </c>
      <c r="E116" t="inlineStr">
        <is>
          <t>Titebond III (waterproof)</t>
        </is>
      </c>
      <c r="G116" t="inlineStr">
        <is>
          <t>For segmented/stave bowl assembly</t>
        </is>
      </c>
    </row>
    <row r="117">
      <c r="A117" t="n">
        <v>16</v>
      </c>
      <c r="B117" t="inlineStr">
        <is>
          <t>Consumables</t>
        </is>
      </c>
      <c r="C117" t="inlineStr">
        <is>
          <t>Sandpaper assortment</t>
        </is>
      </c>
      <c r="D117" t="n">
        <v>1</v>
      </c>
      <c r="E117" t="inlineStr">
        <is>
          <t>80/120/220/320/400</t>
        </is>
      </c>
      <c r="G117" t="inlineStr">
        <is>
          <t>Bowl exterior + neck finishing</t>
        </is>
      </c>
    </row>
    <row r="118">
      <c r="A118" t="n">
        <v>17</v>
      </c>
      <c r="B118" t="inlineStr">
        <is>
          <t>Finish</t>
        </is>
      </c>
      <c r="C118" t="inlineStr">
        <is>
          <t>Oil finish</t>
        </is>
      </c>
      <c r="D118" t="n">
        <v>1</v>
      </c>
      <c r="E118" t="inlineStr">
        <is>
          <t>Tung oil or Danish oil</t>
        </is>
      </c>
      <c r="G118" t="inlineStr">
        <is>
          <t>Natural finish; avoid heavy poly on acoustic body</t>
        </is>
      </c>
    </row>
    <row r="120" ht="15" customHeight="1" s="817">
      <c r="A120" s="749" t="inlineStr">
        <is>
          <t>BUILD METHOD</t>
        </is>
      </c>
      <c r="B120" s="750" t="n"/>
      <c r="C120" s="750" t="n"/>
      <c r="D120" s="750" t="n"/>
      <c r="E120" s="750" t="n"/>
      <c r="F120" s="750" t="n"/>
      <c r="G120" s="750" t="n"/>
    </row>
    <row r="121">
      <c r="A121" s="475" t="inlineStr">
        <is>
          <t>Step</t>
        </is>
      </c>
      <c r="B121" s="475" t="inlineStr">
        <is>
          <t>Phase</t>
        </is>
      </c>
      <c r="C121" s="475" t="inlineStr">
        <is>
          <t>Operation</t>
        </is>
      </c>
      <c r="D121" s="475" t="inlineStr">
        <is>
          <t>Tool</t>
        </is>
      </c>
      <c r="E121" s="475" t="inlineStr">
        <is>
          <t>Parameters</t>
        </is>
      </c>
      <c r="F121" s="475" t="inlineStr">
        <is>
          <t>Notes / Tips</t>
        </is>
      </c>
      <c r="G121" s="475" t="inlineStr">
        <is>
          <t>☑ Done</t>
        </is>
      </c>
    </row>
    <row r="122">
      <c r="A122" t="n">
        <v>1</v>
      </c>
      <c r="B122" t="inlineStr">
        <is>
          <t>Bowl — Segmented</t>
        </is>
      </c>
      <c r="C122" t="inlineStr">
        <is>
          <t>Set table saw miter sled to 15°</t>
        </is>
      </c>
      <c r="D122" t="inlineStr">
        <is>
          <t>Table saw, miter sled</t>
        </is>
      </c>
      <c r="E122" t="inlineStr">
        <is>
          <t>Verify angle with digital protractor</t>
        </is>
      </c>
      <c r="F122" t="inlineStr">
        <is>
          <t>Same technique as Ashiko/Conga builds</t>
        </is>
      </c>
    </row>
    <row r="123">
      <c r="A123" t="n">
        <v>2</v>
      </c>
      <c r="B123" t="inlineStr">
        <is>
          <t>Bowl — Segmented</t>
        </is>
      </c>
      <c r="C123" t="inlineStr">
        <is>
          <t>Cut all segments per cut list (168 pcs)</t>
        </is>
      </c>
      <c r="D123" t="inlineStr">
        <is>
          <t>Table saw, miter sled</t>
        </is>
      </c>
      <c r="E123" t="inlineStr">
        <is>
          <t>Sort by ring; label each ring's segments</t>
        </is>
      </c>
      <c r="F123" t="inlineStr">
        <is>
          <t>Cut extras (5-10%) for rejects</t>
        </is>
      </c>
    </row>
    <row r="124">
      <c r="A124" t="n">
        <v>3</v>
      </c>
      <c r="B124" t="inlineStr">
        <is>
          <t>Bowl — Segmented</t>
        </is>
      </c>
      <c r="C124" t="inlineStr">
        <is>
          <t>Glue rings one at a time on flat surface</t>
        </is>
      </c>
      <c r="D124" t="inlineStr">
        <is>
          <t>Band clamp, wax paper</t>
        </is>
      </c>
      <c r="E124" t="inlineStr">
        <is>
          <t>1 ring per glue-up; cure 1h min</t>
        </is>
      </c>
      <c r="F124" t="inlineStr">
        <is>
          <t>Check ring is flat before moving to next</t>
        </is>
      </c>
    </row>
    <row r="125">
      <c r="A125" t="n">
        <v>4</v>
      </c>
      <c r="B125" t="inlineStr">
        <is>
          <t>Bowl — Segmented</t>
        </is>
      </c>
      <c r="C125" t="inlineStr">
        <is>
          <t>Stack and glue rings (bottom to top)</t>
        </is>
      </c>
      <c r="D125" t="inlineStr">
        <is>
          <t>Pipe clamps, alignment pins</t>
        </is>
      </c>
      <c r="E125" t="inlineStr">
        <is>
          <t>Align by outer edge; cure 2h between stacks</t>
        </is>
      </c>
      <c r="F125" t="inlineStr">
        <is>
          <t>Use indexing marks to maintain pattern alignment</t>
        </is>
      </c>
    </row>
    <row r="126">
      <c r="A126" t="n">
        <v>5</v>
      </c>
      <c r="B126" t="inlineStr">
        <is>
          <t>Bowl — Segmented</t>
        </is>
      </c>
      <c r="C126" t="inlineStr">
        <is>
          <t>Mount on lathe, turn exterior profile</t>
        </is>
      </c>
      <c r="D126" t="inlineStr">
        <is>
          <t>Lathe, bowl gouge</t>
        </is>
      </c>
      <c r="E126" t="inlineStr">
        <is>
          <t>15"+ swing required for 20" bowl</t>
        </is>
      </c>
      <c r="F126" t="inlineStr">
        <is>
          <t>⚠️ Large diameter — low RPM (200-400), face shield</t>
        </is>
      </c>
    </row>
    <row r="127">
      <c r="A127" t="n">
        <v>6</v>
      </c>
      <c r="B127" t="inlineStr">
        <is>
          <t>Bowl — Segmented</t>
        </is>
      </c>
      <c r="C127" t="inlineStr">
        <is>
          <t>Hollow interior to uniform wall thickness</t>
        </is>
      </c>
      <c r="D127" t="inlineStr">
        <is>
          <t>Lathe, hollowing tool</t>
        </is>
      </c>
      <c r="E127" t="inlineStr">
        <is>
          <t>Target 3/8" wall; verify with calipers</t>
        </is>
      </c>
      <c r="F127" t="inlineStr">
        <is>
          <t>Leave 1" thick rim for skin attachment</t>
        </is>
      </c>
    </row>
    <row r="128">
      <c r="A128" t="n">
        <v>7</v>
      </c>
      <c r="B128" t="inlineStr">
        <is>
          <t>Bowl — Stave Alt.</t>
        </is>
      </c>
      <c r="C128" t="inlineStr">
        <is>
          <t>Rip staves at 11.25° bevel on table saw</t>
        </is>
      </c>
      <c r="D128" t="inlineStr">
        <is>
          <t>Table saw</t>
        </is>
      </c>
      <c r="E128" t="inlineStr">
        <is>
          <t>16 staves per cut list dimensions</t>
        </is>
      </c>
      <c r="F128" t="inlineStr">
        <is>
          <t>Blade tilt = miter angle; test fit 3 staves first</t>
        </is>
      </c>
    </row>
    <row r="129">
      <c r="A129" t="n">
        <v>8</v>
      </c>
      <c r="B129" t="inlineStr">
        <is>
          <t>Bowl — Stave Alt.</t>
        </is>
      </c>
      <c r="C129" t="inlineStr">
        <is>
          <t>Glue staves around CNC-routed interior form</t>
        </is>
      </c>
      <c r="D129" t="inlineStr">
        <is>
          <t>Band clamp, form, glue</t>
        </is>
      </c>
      <c r="E129" t="inlineStr">
        <is>
          <t>Apply glue to both edges; tighten gradually</t>
        </is>
      </c>
      <c r="F129" t="inlineStr">
        <is>
          <t>Form can be MDF, CNC-cut to hemispherical profile</t>
        </is>
      </c>
    </row>
    <row r="130">
      <c r="A130" t="n">
        <v>9</v>
      </c>
      <c r="B130" t="inlineStr">
        <is>
          <t>Bowl — Stave Alt.</t>
        </is>
      </c>
      <c r="C130" t="inlineStr">
        <is>
          <t>Turn exterior on lathe, hollow if needed</t>
        </is>
      </c>
      <c r="D130" t="inlineStr">
        <is>
          <t>Lathe</t>
        </is>
      </c>
      <c r="E130" t="inlineStr">
        <is>
          <t>Same as step 6</t>
        </is>
      </c>
      <c r="F130" t="inlineStr">
        <is>
          <t>Stave bowl may only need exterior truing</t>
        </is>
      </c>
    </row>
    <row r="131">
      <c r="A131" t="n">
        <v>10</v>
      </c>
      <c r="B131" t="inlineStr">
        <is>
          <t>Neck</t>
        </is>
      </c>
      <c r="C131" t="inlineStr">
        <is>
          <t>Joint/plane neck blank to final dimensions</t>
        </is>
      </c>
      <c r="D131" t="inlineStr">
        <is>
          <t>Jointer, planer</t>
        </is>
      </c>
      <c r="E131" t="inlineStr">
        <is>
          <t>51" × 2" × 3/4" (or laminate)</t>
        </is>
      </c>
      <c r="F131" t="inlineStr">
        <is>
          <t>Straight grain critical; sight along edge for twist</t>
        </is>
      </c>
    </row>
    <row r="132">
      <c r="A132" t="n">
        <v>11</v>
      </c>
      <c r="B132" t="inlineStr">
        <is>
          <t>Neck</t>
        </is>
      </c>
      <c r="C132" t="inlineStr">
        <is>
          <t>Drill neck-through-bowl holes (2 holes in head)</t>
        </is>
      </c>
      <c r="D132" t="inlineStr">
        <is>
          <t>Drill press or CNC</t>
        </is>
      </c>
      <c r="E132" t="inlineStr">
        <is>
          <t>Hole Ø = neck width + 1/16" clearance</t>
        </is>
      </c>
      <c r="F132" t="inlineStr">
        <is>
          <t>Neck passes through skin and bowl; wedge-locked</t>
        </is>
      </c>
    </row>
    <row r="133">
      <c r="A133" t="n">
        <v>12</v>
      </c>
      <c r="B133" t="inlineStr">
        <is>
          <t>Neck</t>
        </is>
      </c>
      <c r="C133" t="inlineStr">
        <is>
          <t>Shape neck profile (round or D-shaped)</t>
        </is>
      </c>
      <c r="D133" t="inlineStr">
        <is>
          <t>Spokeshave, rasp, sandpaper</t>
        </is>
      </c>
      <c r="E133" t="inlineStr">
        <is>
          <t>Comfortable grip; slight taper toward top</t>
        </is>
      </c>
      <c r="F133" t="inlineStr">
        <is>
          <t>Can CNC rough profile, hand-finish</t>
        </is>
      </c>
    </row>
    <row r="134">
      <c r="A134" t="n">
        <v>13</v>
      </c>
      <c r="B134" t="inlineStr">
        <is>
          <t>Head</t>
        </is>
      </c>
      <c r="C134" t="inlineStr">
        <is>
          <t>Soak goatskin 12-24 hours</t>
        </is>
      </c>
      <c r="D134" t="inlineStr">
        <is>
          <t>Bucket, warm water</t>
        </is>
      </c>
      <c r="E134" t="inlineStr">
        <is>
          <t>Skin should be pliable, not slimy</t>
        </is>
      </c>
      <c r="F134" t="inlineStr">
        <is>
          <t>Add small amount of salt to water</t>
        </is>
      </c>
    </row>
    <row r="135">
      <c r="A135" t="n">
        <v>14</v>
      </c>
      <c r="B135" t="inlineStr">
        <is>
          <t>Head</t>
        </is>
      </c>
      <c r="C135" t="inlineStr">
        <is>
          <t>Stretch skin over bowl, secure with tacks/cord</t>
        </is>
      </c>
      <c r="D135" t="inlineStr">
        <is>
          <t>Upholstery tacks or nylon cord</t>
        </is>
      </c>
      <c r="E135" t="inlineStr">
        <is>
          <t>Pull evenly from opposite sides; skin must be taut</t>
        </is>
      </c>
      <c r="F135" t="inlineStr">
        <is>
          <t>Skin shrinks as it dries — will tighten further</t>
        </is>
      </c>
    </row>
    <row r="136">
      <c r="A136" t="n">
        <v>15</v>
      </c>
      <c r="B136" t="inlineStr">
        <is>
          <t>Head</t>
        </is>
      </c>
      <c r="C136" t="inlineStr">
        <is>
          <t>Cut holes in skin for neck and sound hole</t>
        </is>
      </c>
      <c r="D136" t="inlineStr">
        <is>
          <t>Razor knife</t>
        </is>
      </c>
      <c r="E136" t="inlineStr">
        <is>
          <t>Mark from inside; cut slightly undersized</t>
        </is>
      </c>
      <c r="F136" t="inlineStr">
        <is>
          <t>Skin grips neck tightly through these holes</t>
        </is>
      </c>
    </row>
    <row r="137">
      <c r="A137" t="n">
        <v>16</v>
      </c>
      <c r="B137" t="inlineStr">
        <is>
          <t>Bridge</t>
        </is>
      </c>
      <c r="C137" t="inlineStr">
        <is>
          <t>CNC-route or hand-carve 21 notches in bridge</t>
        </is>
      </c>
      <c r="D137" t="inlineStr">
        <is>
          <t>CNC (1/16" bit) or needle files</t>
        </is>
      </c>
      <c r="E137" t="inlineStr">
        <is>
          <t>V-notches, 0.273" spacing, 1/8" deep</t>
        </is>
      </c>
      <c r="F137" t="inlineStr">
        <is>
          <t>11 notches one side, 10 other (separated by neck slot)</t>
        </is>
      </c>
    </row>
    <row r="138">
      <c r="A138" t="n">
        <v>17</v>
      </c>
      <c r="B138" t="inlineStr">
        <is>
          <t>Assembly</t>
        </is>
      </c>
      <c r="C138" t="inlineStr">
        <is>
          <t>Insert neck through bowl/skin</t>
        </is>
      </c>
      <c r="D138" t="inlineStr">
        <is>
          <t>Hand</t>
        </is>
      </c>
      <c r="E138" t="inlineStr">
        <is>
          <t>Neck should be snug but removable</t>
        </is>
      </c>
      <c r="F138" t="inlineStr">
        <is>
          <t>Wedge or friction fit at bowl penetration points</t>
        </is>
      </c>
    </row>
    <row r="139">
      <c r="A139" t="n">
        <v>18</v>
      </c>
      <c r="B139" t="inlineStr">
        <is>
          <t>Assembly</t>
        </is>
      </c>
      <c r="C139" t="inlineStr">
        <is>
          <t>Place bridge on skin, tie strings</t>
        </is>
      </c>
      <c r="D139" t="inlineStr">
        <is>
          <t>Hand</t>
        </is>
      </c>
      <c r="E139" t="inlineStr">
        <is>
          <t>Bridge sits on skin under string tension only</t>
        </is>
      </c>
      <c r="F139" t="inlineStr">
        <is>
          <t>Start from middle strings outward for even tension</t>
        </is>
      </c>
    </row>
    <row r="140">
      <c r="A140" t="n">
        <v>19</v>
      </c>
      <c r="B140" t="inlineStr">
        <is>
          <t>Assembly</t>
        </is>
      </c>
      <c r="C140" t="inlineStr">
        <is>
          <t>Attach strings to tail piece and neck tuning rings</t>
        </is>
      </c>
      <c r="D140" t="inlineStr">
        <is>
          <t>Hand</t>
        </is>
      </c>
      <c r="E140" t="inlineStr">
        <is>
          <t>Tie loop at tail; hitch knot at tuning ring</t>
        </is>
      </c>
      <c r="F140" t="inlineStr">
        <is>
          <t>Traditional konso rings slide up/down to tune</t>
        </is>
      </c>
    </row>
    <row r="141">
      <c r="A141" t="n">
        <v>20</v>
      </c>
      <c r="B141" t="inlineStr">
        <is>
          <t>Electric</t>
        </is>
      </c>
      <c r="C141" t="inlineStr">
        <is>
          <t>Mount piezo disc under bridge foot on skin</t>
        </is>
      </c>
      <c r="D141" t="inlineStr">
        <is>
          <t>Contact adhesive</t>
        </is>
      </c>
      <c r="E141" t="inlineStr">
        <is>
          <t>Center piezo under bridge; thin adhesive layer</t>
        </is>
      </c>
      <c r="F141" t="inlineStr">
        <is>
          <t>Test placement with tap tones before gluing</t>
        </is>
      </c>
    </row>
    <row r="142">
      <c r="A142" t="n">
        <v>21</v>
      </c>
      <c r="B142" t="inlineStr">
        <is>
          <t>Electric</t>
        </is>
      </c>
      <c r="C142" t="inlineStr">
        <is>
          <t>Install preamp + jack in bowl</t>
        </is>
      </c>
      <c r="D142" t="inlineStr">
        <is>
          <t>Drill, soldering iron</t>
        </is>
      </c>
      <c r="E142" t="inlineStr">
        <is>
          <t>Jack hole on rim; preamp velcro'd inside</t>
        </is>
      </c>
      <c r="F142" t="inlineStr">
        <is>
          <t>Keep wire run short; shield from bridge to preamp</t>
        </is>
      </c>
    </row>
    <row r="143">
      <c r="A143" t="n">
        <v>22</v>
      </c>
      <c r="B143" t="inlineStr">
        <is>
          <t>Finishing</t>
        </is>
      </c>
      <c r="C143" t="inlineStr">
        <is>
          <t>Sand bowl exterior 80→120→220→320→400</t>
        </is>
      </c>
      <c r="D143" t="inlineStr">
        <is>
          <t>Lathe or hand</t>
        </is>
      </c>
      <c r="E143" t="inlineStr">
        <is>
          <t>Progressive grit; remove all tool marks</t>
        </is>
      </c>
      <c r="F143" t="inlineStr">
        <is>
          <t>Don't sand skin or bridge contact areas</t>
        </is>
      </c>
    </row>
    <row r="144">
      <c r="A144" t="n">
        <v>23</v>
      </c>
      <c r="B144" t="inlineStr">
        <is>
          <t>Finishing</t>
        </is>
      </c>
      <c r="C144" t="inlineStr">
        <is>
          <t>Apply oil finish to bowl + neck</t>
        </is>
      </c>
      <c r="D144" t="inlineStr">
        <is>
          <t>Rag, brush</t>
        </is>
      </c>
      <c r="E144" t="inlineStr">
        <is>
          <t>2-3 coats tung oil; 24h between coats</t>
        </is>
      </c>
      <c r="F144" t="inlineStr">
        <is>
          <t>Keep finish off skin and bridge foot</t>
        </is>
      </c>
    </row>
    <row r="145">
      <c r="A145" t="n">
        <v>24</v>
      </c>
      <c r="B145" t="inlineStr">
        <is>
          <t>Tuning</t>
        </is>
      </c>
      <c r="C145" t="inlineStr">
        <is>
          <t>Tune all 21 strings to F major diatonic</t>
        </is>
      </c>
      <c r="D145" t="inlineStr">
        <is>
          <t>Chromatic tuner</t>
        </is>
      </c>
      <c r="E145" t="inlineStr">
        <is>
          <t>F3-D6; tune bass first, work up</t>
        </is>
      </c>
      <c r="F145" t="inlineStr">
        <is>
          <t>Allow 2-3 days for strings to stretch and settle</t>
        </is>
      </c>
    </row>
    <row r="147" ht="15" customHeight="1" s="817">
      <c r="A147" s="751" t="inlineStr">
        <is>
          <t>DESIGN NOTES</t>
        </is>
      </c>
      <c r="B147" s="752" t="n"/>
      <c r="C147" s="752" t="n"/>
      <c r="D147" s="752" t="n"/>
      <c r="E147" s="752" t="n"/>
      <c r="F147" s="752" t="n"/>
    </row>
    <row r="148">
      <c r="A148" t="inlineStr">
        <is>
          <t>1. Bowl diameter directly affects volume and bass response. Larger bowl = louder, more bass.</t>
        </is>
      </c>
    </row>
    <row r="149">
      <c r="A149" t="inlineStr">
        <is>
          <t>2. Goatskin tension is critical — too tight = thin/bright, too loose = muddy/quiet. Let dry completely before final tuning.</t>
        </is>
      </c>
    </row>
    <row r="150">
      <c r="A150" t="inlineStr">
        <is>
          <t>3. String lengths are approximations based on a linear neck curve. Actual lengths depend on your neck curvature and bridge position.</t>
        </is>
      </c>
    </row>
    <row r="151">
      <c r="A151" t="inlineStr">
        <is>
          <t>4. %Breaking over 80% risks breakage. If any string exceeds this, increase vibrating length (lower bridge, longer neck) or use heavier gauge.</t>
        </is>
      </c>
    </row>
    <row r="152">
      <c r="A152" t="inlineStr">
        <is>
          <t>5. Wound strings (#18-21) use 2.5× nylon density factor. Adjust wound start point if %breaking is too high on plain nylon bass strings.</t>
        </is>
      </c>
    </row>
    <row r="153">
      <c r="A153" t="inlineStr">
        <is>
          <t>6. Segmented bowl: same miter sled + ring-stack method as Ashiko and Conga sheets. Stave bowl: faster but less decorative.</t>
        </is>
      </c>
    </row>
    <row r="154">
      <c r="A154" t="inlineStr">
        <is>
          <t>7. Traditional kora uses calabash gourd — segmented/stave wood bowl is Tony's CNC adaptation for consistency and durability.</t>
        </is>
      </c>
    </row>
    <row r="155">
      <c r="A155" t="inlineStr">
        <is>
          <t>8. Electric version: piezo under bridge captures all 21 strings. Position affects tone — center = balanced, offset = favors one hand.</t>
        </is>
      </c>
    </row>
    <row r="156">
      <c r="A156" t="inlineStr">
        <is>
          <t>9. Havlena build reference: smaller proportions (16" bowl, 49" neck). Full-size traditional kora is larger (20" bowl, 51" neck).</t>
        </is>
      </c>
    </row>
    <row r="157">
      <c r="A157" t="inlineStr">
        <is>
          <t>10. String 21 doubles string 20 (both F3) — traditional kora has 11 right-hand + 10 left-hand strings with the lowest note shared.</t>
        </is>
      </c>
    </row>
    <row r="158">
      <c r="A158" s="756" t="inlineStr">
        <is>
          <t>11. TODO: Revisit treble string stress — strings 1-5 and #18 exceed 80% breaking. Options: reduce B10 (treble tension), lengthen F59:F63/F76 (vibrating length), or switch to fluorocarbon (higher σ_break).</t>
        </is>
      </c>
    </row>
    <row r="161" ht="18" customHeight="1" s="817">
      <c r="A161" s="802" t="inlineStr">
        <is>
          <t>WOLFRAM CLOUD NOTEBOOK SPEC — KORA</t>
        </is>
      </c>
    </row>
    <row r="162">
      <c r="A162" s="734" t="inlineStr">
        <is>
          <t>Companion notebook to this design sheet. Build in Wolfram Cloud (cloud.wolfram.com) — embed, link, or export to CDF.</t>
        </is>
      </c>
    </row>
    <row r="164">
      <c r="A164" s="609" t="inlineStr">
        <is>
          <t>§1 — HISTORY, ETYMOLOGY &amp; GEOGRAPHIC ORIGIN</t>
        </is>
      </c>
    </row>
    <row r="165">
      <c r="A165" t="inlineStr">
        <is>
          <t>Origin: Mande peoples of West Africa (Manding empire, ~13th–14th c.). Strongest living tradition in Gambia, Senegal, Guinea, Mali, Guinea-Bissau, Burkina Faso, Côte d'Ivoire.</t>
        </is>
      </c>
    </row>
    <row r="166">
      <c r="A166" t="inlineStr">
        <is>
          <t>Etymology: 'Kora' likely from Mandinka. Played by jali/jeli/griot — hereditary musician-historians. Core families: Kouyaté, Diabaté, Kuyateh, Suso, Cissokho.</t>
        </is>
      </c>
    </row>
    <row r="167">
      <c r="A167" t="inlineStr">
        <is>
          <t>First European description: Mungo Park, 1799 (Travels in the Interior Districts of Africa). Earliest extant instruments date to early 19th c.</t>
        </is>
      </c>
    </row>
    <row r="168">
      <c r="A168" t="inlineStr">
        <is>
          <t>Tunings: Silaba (F major), Tomora (F Lydian), Sauta (F Mixolydian), Hardino (F Dorian-ish). All built around F3 fundamental, two ranks straddling the bridge.</t>
        </is>
      </c>
    </row>
    <row r="169">
      <c r="A169" t="inlineStr">
        <is>
          <t>Wolfram items: GeoGraphics[{GeoMarker[Entity["City",{"Banjul","Banjul","Gambia"}]], GeoMarker[Entity["City",{"Bamako","Bamako","Mali"}]], GeoMarker[Entity["City",{"Dakar","Dakar","Senegal"}]]}, GeoRange→Entity["GeographicRegion","WesternAfrica"]]</t>
        </is>
      </c>
    </row>
    <row r="170">
      <c r="A170" t="inlineStr">
        <is>
          <t>Wolfram items: TimelinePlot for kora history; WikipediaData["Kora (instrument)","SummaryPlaintext"] as a starter source; Entity["MusicalInstrument","Kora"]["Properties"].</t>
        </is>
      </c>
    </row>
    <row r="172">
      <c r="A172" s="609" t="inlineStr">
        <is>
          <t>§2 — PHYSICS &amp; ACOUSTICS (string side)</t>
        </is>
      </c>
    </row>
    <row r="173">
      <c r="A173" t="inlineStr">
        <is>
          <t>Governing law: Mersenne–Taylor — f = (1/2L)·√(T/μ), with μ = ρ·π·(d/2)² for monofilament, μ × wound-factor (~2.5) for wound bass.</t>
        </is>
      </c>
    </row>
    <row r="174">
      <c r="A174" t="inlineStr">
        <is>
          <t>Stiffness correction (real strings, not ideal): f_n = n·f0·√(1 + B·n²),  B = π²·E·I / (T·L²),  I = π·d⁴/64. Bass strings need this — treble nylon ~negligible.</t>
        </is>
      </c>
    </row>
    <row r="175">
      <c r="A175" t="inlineStr">
        <is>
          <t>Damping: exponential decay e^(−t/τ), τ depends on bridge admittance + skin head losses. Two-mass coupled oscillator (string + bridge + membrane) captures sympathetic tones.</t>
        </is>
      </c>
    </row>
    <row r="176">
      <c r="A176" t="inlineStr">
        <is>
          <t>Bridge physics: notched bridge transfers vibration into goatskin head — head acts as a low-Q radiator. Membrane modes: J_{m,n} Bessel zeros / (π·a) × √(T_skin/σ_skin).</t>
        </is>
      </c>
    </row>
    <row r="177">
      <c r="A177" t="inlineStr">
        <is>
          <t>%Breaking (independent of d): %break = ρ·4·L²·f² / (σ_break·g) × 100. Cross-references column G in string schedule above.</t>
        </is>
      </c>
    </row>
    <row r="178">
      <c r="A178" t="inlineStr">
        <is>
          <t>Wolfram functions: NDSolve[ ] for damped wave equation on the string; PlayString[Sound[ ]] for synthesized pluck; SoundNote, AudioGenerator, Spectrogram, Periodogram.</t>
        </is>
      </c>
    </row>
    <row r="179">
      <c r="A179" t="inlineStr">
        <is>
          <t>Wolfram functions: BesselJZero[m,n] for circular membrane modes; ContourPlot3D[BesselJ[m,k r] Cos[m θ]] for mode-shape animations of the skin head.</t>
        </is>
      </c>
    </row>
    <row r="180">
      <c r="A180" t="inlineStr">
        <is>
          <t>Wolfram functions: FourierTrigSeries / Fourier / PowerSpectralDensity for harmonic content of recorded plucks; LinearSolve / Eigensystem for coupled string-bridge model.</t>
        </is>
      </c>
    </row>
    <row r="182">
      <c r="A182" s="609" t="inlineStr">
        <is>
          <t>§3 — GEOMETRY &amp; DESIGN MODEL</t>
        </is>
      </c>
    </row>
    <row r="183">
      <c r="A183" t="inlineStr">
        <is>
          <t>Bowl: hemispherical-ish (segmented or stave). Parameterize as Surface of Revolution with profile r(z). Segmented version = RegionUnion of mitered prisms.</t>
        </is>
      </c>
    </row>
    <row r="184">
      <c r="A184" t="inlineStr">
        <is>
          <t>Neck: long cylindrical/octagonal stick. Bridge sits on goatskin head, tilted forward. String anchor: leather rings sliding on neck for tuning.</t>
        </is>
      </c>
    </row>
    <row r="185">
      <c r="A185" t="inlineStr">
        <is>
          <t>String geometry: each string runs from anchor → over bridge notch → to a tying point at the foot. Vibrating length = bridge-notch to anchor.</t>
        </is>
      </c>
    </row>
    <row r="186">
      <c r="A186" t="inlineStr">
        <is>
          <t>Wolfram items: ParametricPlot3D[{r[z] Cos[θ], r[z] Sin[θ], z},…] for bowl; RevolutionPlot3D; RegionPlot3D for chamber volume.</t>
        </is>
      </c>
    </row>
    <row r="187">
      <c r="A187" t="inlineStr">
        <is>
          <t>Wolfram items: Manipulate[ ] sliders for bowl_diameter, bowl_depth, neck_length, bridge_height, head_tension. Live recompute of f, %break, mode shapes.</t>
        </is>
      </c>
    </row>
    <row r="188">
      <c r="A188" t="inlineStr">
        <is>
          <t>Wolfram items: Graphics3D + GeometricTransformation for animated string vibration overlay (n=1,2,3 modes). Animate[ ] or ListAnimate[ ] for export.</t>
        </is>
      </c>
    </row>
    <row r="190">
      <c r="A190" s="609" t="inlineStr">
        <is>
          <t>§4 — MATERIAL PROPERTIES &amp; CORRECTION FACTORS</t>
        </is>
      </c>
    </row>
    <row r="191">
      <c r="A191" t="inlineStr">
        <is>
          <t>Strings — Nylon: ρ=0.04155 lb/in³, σ_break=44,600 psi. Fluorocarbon (PVDF): ρ≈0.0635, σ_break≈55,000 (higher tension capacity, brighter).</t>
        </is>
      </c>
    </row>
    <row r="192">
      <c r="A192" t="inlineStr">
        <is>
          <t>Strings — Wound bass: nylon core + nylon/silver-plated copper winding. Effective ρ ≈ 2.5× plain nylon (sheet uses this).</t>
        </is>
      </c>
    </row>
    <row r="193">
      <c r="A193" t="inlineStr">
        <is>
          <t>Bowl woods: Maple ρ=705 kg/m³ E=12.6 GPa; Walnut ρ=610 E=11.6; Cherry ρ=560 E=10.3; Mahogany ρ=590 E=10.1. Bowl mass ≠ tone driver — head + bridge dominate.</t>
        </is>
      </c>
    </row>
    <row r="194">
      <c r="A194" t="inlineStr">
        <is>
          <t>Goatskin: σ_skin (areal density) ~0.4–0.7 kg/m², T_skin tunable by lacing tension. Head mode 0,1 should sit ~30–40% above F3 fundamental (sympathetic ring without masking).</t>
        </is>
      </c>
    </row>
    <row r="195">
      <c r="A195" t="inlineStr">
        <is>
          <t>Correction factors: stiffness inharmonicity B (above); finite-bridge admittance shifts f by 1–3% depending on neck/bridge stiffness; humidity affects nylon by ±0.5% over a season.</t>
        </is>
      </c>
    </row>
    <row r="196">
      <c r="A196" t="inlineStr">
        <is>
          <t>Wolfram items: Entity["Material",…] / Interpreter["Material"] for E and ρ lookup. ElementData / ChemicalData for string alloy windings (silver-plated Cu, bronze).</t>
        </is>
      </c>
    </row>
    <row r="197">
      <c r="A197" t="inlineStr">
        <is>
          <t>Wolfram items: Quantity / UnitConvert for unit hygiene (Pa↔psi, kg/m³↔lb/in³). QuantityVariable for symbolic dimension checking.</t>
        </is>
      </c>
    </row>
    <row r="199">
      <c r="A199" s="609" t="inlineStr">
        <is>
          <t>§5 — BILL OF MATERIALS (notebook hooks into BOM in this sheet)</t>
        </is>
      </c>
    </row>
    <row r="200">
      <c r="A200" t="inlineStr">
        <is>
          <t>Pull BOM rows directly: SemanticImport["Flutes-AI.xlsx", "Kora"] or Import[ , {"XLSX","Kora","Data"}]. Filter to BOM rows; render with Dataset[ ].</t>
        </is>
      </c>
    </row>
    <row r="201">
      <c r="A201" t="inlineStr">
        <is>
          <t>Cost roll-up: Total[ ] over Qty × UnitCost column. Histogram[ ] by Category. Pie chart of cost share via PieChart3D[ ].</t>
        </is>
      </c>
    </row>
    <row r="202">
      <c r="A202" t="inlineStr">
        <is>
          <t>Wolfram items: Dataset, Query, GroupBy, KeyValueMap; FormFunction for an interactive 'price my kora' input form deployable as an APIFunction.</t>
        </is>
      </c>
    </row>
    <row r="204">
      <c r="A204" s="609" t="inlineStr">
        <is>
          <t>§6 — ANIMATED PARTS DIAGRAMS</t>
        </is>
      </c>
    </row>
    <row r="205">
      <c r="A205" t="inlineStr">
        <is>
          <t>Exploded view: stack Graphics3D primitives for bowl, head, bridge, neck, strings, anchor rings; animate Z-offset with Manipulate[ ] slider 0→1 (assembled→exploded).</t>
        </is>
      </c>
    </row>
    <row r="206">
      <c r="A206" t="inlineStr">
        <is>
          <t>String pluck animation: Animate[Plot[A·Sin[n·π·x/L]·Cos[2π·f·t]·Exp[−t/τ], {x,0,L}], {t,0,2}]. One per string, or grid of all 21.</t>
        </is>
      </c>
    </row>
    <row r="207">
      <c r="A207" t="inlineStr">
        <is>
          <t>Head membrane modes: ListAnimate of BesselJ[m,k_{m,n}·r/a]·Cos[m·θ]·Cos[2π·f_{m,n}·t] over the disc. Color by displacement.</t>
        </is>
      </c>
    </row>
    <row r="208">
      <c r="A208" t="inlineStr">
        <is>
          <t>Wolfram functions: Manipulate, Animate, ListAnimate, GeometricTransformation, Dynamic; ResourceFunction["ExplodedView"]; Export[ , "GIF"] / Export[ , "MP4"].</t>
        </is>
      </c>
    </row>
    <row r="210">
      <c r="A210" s="609" t="inlineStr">
        <is>
          <t>§7 — ACOUSTIC MODELING (executable cell sketches)</t>
        </is>
      </c>
    </row>
    <row r="211">
      <c r="A211" t="inlineStr">
        <is>
          <t>fString[L_,T_,μ_]:=1/(2 L) Sqrt[T/μ];  μNylon[d_]:=ρnyl·π (d/2)^2 (* d in m, ρ in kg/m³ *)</t>
        </is>
      </c>
    </row>
    <row r="212">
      <c r="A212" t="inlineStr">
        <is>
          <t>inharmonic[n_,L_,T_,d_,E_]:=n·f0 Sqrt[1 + (π² E (π d^4/64))/(T L²)·n²]</t>
        </is>
      </c>
    </row>
    <row r="213">
      <c r="A213" t="inlineStr">
        <is>
          <t>pluckSound[L_,T_,μ_,τ_,nMax_]:=Sound[Table[SoundNote[ToString[440·n/261.63],1,{"Sine","Volume"→Exp[−n/3]}],{n,nMax}]] (* placeholder: replace with AudioGenerator + envelope *)</t>
        </is>
      </c>
    </row>
    <row r="214">
      <c r="A214" t="inlineStr">
        <is>
          <t>membraneMode[m_,n_,a_,T_,σ_]:= (BesselJZero[m,n]/(π a)) Sqrt[T/σ]</t>
        </is>
      </c>
    </row>
    <row r="215">
      <c r="A215" t="inlineStr">
        <is>
          <t>Validate against measured: import recorded pluck → Periodogram → peak-pick → compare to predicted f_n series. NonlinearModelFit[ ] to back out actual T and B.</t>
        </is>
      </c>
    </row>
    <row r="216">
      <c r="A216" t="inlineStr">
        <is>
          <t>Wolfram functions: AudioRecord, AudioPartition, Spectrogram, Periodogram, FindPeaks, NonlinearModelFit, FindFit, Around (uncertainty propagation).</t>
        </is>
      </c>
    </row>
    <row r="218">
      <c r="A218" s="609" t="inlineStr">
        <is>
          <t>§8 — DEPLOYMENT &amp; SHARING</t>
        </is>
      </c>
    </row>
    <row r="219">
      <c r="A219" t="inlineStr">
        <is>
          <t>CloudDeploy[Manipulate[…], Permissions→"Public"] → shareable URL. CloudPublish[ ] for read-only views. Embed in build documentation.</t>
        </is>
      </c>
    </row>
    <row r="220">
      <c r="A220" t="inlineStr">
        <is>
          <t>Export design parameters round-trip: notebook reads sheet, recomputes, writes back updated values via Export["Kora.xlsx", dataset, "XLSX"].</t>
        </is>
      </c>
    </row>
    <row r="221">
      <c r="A221" t="inlineStr">
        <is>
          <t>Wolfram functions: CloudDeploy, CloudPublish, APIFunction, FormFunction, EmbedCode, NotebookSave, Export.</t>
        </is>
      </c>
    </row>
    <row r="224" ht="18" customHeight="1" s="817">
      <c r="A224" s="807" t="inlineStr">
        <is>
          <t>WOLFRAM EXPLORATIONS — KORA</t>
        </is>
      </c>
    </row>
    <row r="225">
      <c r="A225" s="734" t="inlineStr">
        <is>
          <t>Curated from the wolfram-notebooks-roadmap brainstorm — pick a row, file an issue, build the notebook.</t>
        </is>
      </c>
    </row>
    <row r="227">
      <c r="A227" s="808" t="inlineStr">
        <is>
          <t>Roadmap-inspired notebook ideas tailored to this sheet:</t>
        </is>
      </c>
    </row>
    <row r="228">
      <c r="A228" t="inlineStr">
        <is>
          <t xml:space="preserve">  • String Spectrum Synthesizer (Sound Synthesis) — Mersenne-Taylor harmonics with pluck envelope; toggle plain nylon vs wound bass; AudioGenerator + Periodogram overlay.</t>
        </is>
      </c>
    </row>
    <row r="229">
      <c r="A229" t="inlineStr">
        <is>
          <t xml:space="preserve">  • Segmented Bowl Ring Calculator (Manipulate) — Sliders for segments/ring + bowl Ø + wood pattern → 3D ring stack with diamond-pattern color preview.</t>
        </is>
      </c>
    </row>
    <row r="230">
      <c r="A230" t="inlineStr">
        <is>
          <t xml:space="preserve">  • String Schedule Optimizer (NMinimize) — Find gauge schedule that minimizes %breaking variance across 21 strings — solves the current TODO at A158 (strings 1–5 + #18 over 80%).</t>
        </is>
      </c>
    </row>
    <row r="231">
      <c r="A231" t="inlineStr">
        <is>
          <t xml:space="preserve">  • Bridge-Plate Coupling Model (FEM) — NDEigensystem on goatskin head with point-force input from notched bridge; verify head modes don't mask bass strings.</t>
        </is>
      </c>
    </row>
    <row r="232">
      <c r="A232" t="inlineStr">
        <is>
          <t xml:space="preserve">  • Cultural Atlas: West African Harp-Lute Family — GeoGraphics + audio samples for kora, ngoni, xalam, akonting; phylogeny tree showing diaspora connection to banjo.</t>
        </is>
      </c>
    </row>
    <row r="233">
      <c r="A233" t="inlineStr">
        <is>
          <t xml:space="preserve">  • AI Test-Melody Generator (Mande pentatonics) — Anthropic API call → traditional griot-style phrase in Silaba/Tomora/Sauta tuning → MIDI export for build evaluation.</t>
        </is>
      </c>
    </row>
    <row r="234">
      <c r="A234" t="inlineStr">
        <is>
          <t xml:space="preserve">  • Humidity-Corrected Tuning (live data bridge) — Live AcuRite/Wrfcoin → nylon EMC model → predicted treble pitch drift across a session.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2026-05-01T02:02:13Z</dcterms:created>
  <dcterms:modified xmlns:dcterms="http://purl.org/dc/terms/" xmlns:xsi="http://www.w3.org/2001/XMLSchema-instance" xsi:type="dcterms:W3CDTF">2026-05-02T18:57:31Z</dcterms:modified>
  <cp:lastModifiedBy>Tony Koop</cp:lastModifiedBy>
</cp:coreProperties>
</file>